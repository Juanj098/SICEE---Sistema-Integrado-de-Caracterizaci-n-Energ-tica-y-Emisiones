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trlProps/ctrlProp7.xml" ContentType="application/vnd.ms-excel.controlproperties+xml"/>
  <Override PartName="/xl/ctrlProps/ctrlProp8.xml" ContentType="application/vnd.ms-excel.controlproperties+xml"/>
  <Override PartName="/xl/comments3.xml" ContentType="application/vnd.openxmlformats-officedocument.spreadsheetml.comments+xml"/>
  <Override PartName="/xl/drawings/drawing5.xml" ContentType="application/vnd.openxmlformats-officedocument.drawing+xml"/>
  <Override PartName="/xl/ctrlProps/ctrlProp9.xml" ContentType="application/vnd.ms-excel.controlproperties+xml"/>
  <Override PartName="/xl/ctrlProps/ctrlProp10.xml" ContentType="application/vnd.ms-excel.controlproperties+xml"/>
  <Override PartName="/xl/comments4.xml" ContentType="application/vnd.openxmlformats-officedocument.spreadsheetml.comments+xml"/>
  <Override PartName="/xl/drawings/drawing6.xml" ContentType="application/vnd.openxmlformats-officedocument.drawing+xml"/>
  <Override PartName="/xl/ctrlProps/ctrlProp11.xml" ContentType="application/vnd.ms-excel.controlproperties+xml"/>
  <Override PartName="/xl/ctrlProps/ctrlProp12.xml" ContentType="application/vnd.ms-excel.controlproperties+xml"/>
  <Override PartName="/xl/comments5.xml" ContentType="application/vnd.openxmlformats-officedocument.spreadsheetml.comments+xml"/>
  <Override PartName="/xl/drawings/drawing7.xml" ContentType="application/vnd.openxmlformats-officedocument.drawing+xml"/>
  <Override PartName="/xl/ctrlProps/ctrlProp13.xml" ContentType="application/vnd.ms-excel.controlproperties+xml"/>
  <Override PartName="/xl/ctrlProps/ctrlProp14.xml" ContentType="application/vnd.ms-excel.controlproperties+xml"/>
  <Override PartName="/xl/comments6.xml" ContentType="application/vnd.openxmlformats-officedocument.spreadsheetml.comments+xml"/>
  <Override PartName="/xl/drawings/drawing8.xml" ContentType="application/vnd.openxmlformats-officedocument.drawing+xml"/>
  <Override PartName="/xl/ctrlProps/ctrlProp15.xml" ContentType="application/vnd.ms-excel.controlproperties+xml"/>
  <Override PartName="/xl/ctrlProps/ctrlProp16.xml" ContentType="application/vnd.ms-excel.controlproperties+xml"/>
  <Override PartName="/xl/comments7.xml" ContentType="application/vnd.openxmlformats-officedocument.spreadsheetml.comments+xml"/>
  <Override PartName="/xl/drawings/drawing9.xml" ContentType="application/vnd.openxmlformats-officedocument.drawing+xml"/>
  <Override PartName="/xl/ctrlProps/ctrlProp17.xml" ContentType="application/vnd.ms-excel.controlproperties+xml"/>
  <Override PartName="/xl/ctrlProps/ctrlProp18.xml" ContentType="application/vnd.ms-excel.controlproperties+xml"/>
  <Override PartName="/xl/comments8.xml" ContentType="application/vnd.openxmlformats-officedocument.spreadsheetml.comments+xml"/>
  <Override PartName="/xl/drawings/drawing10.xml" ContentType="application/vnd.openxmlformats-officedocument.drawing+xml"/>
  <Override PartName="/xl/ctrlProps/ctrlProp19.xml" ContentType="application/vnd.ms-excel.controlproperties+xml"/>
  <Override PartName="/xl/ctrlProps/ctrlProp20.xml" ContentType="application/vnd.ms-excel.controlproperties+xml"/>
  <Override PartName="/xl/comments9.xml" ContentType="application/vnd.openxmlformats-officedocument.spreadsheetml.comments+xml"/>
  <Override PartName="/xl/drawings/drawing11.xml" ContentType="application/vnd.openxmlformats-officedocument.drawing+xml"/>
  <Override PartName="/xl/ctrlProps/ctrlProp21.xml" ContentType="application/vnd.ms-excel.controlproperties+xml"/>
  <Override PartName="/xl/ctrlProps/ctrlProp22.xml" ContentType="application/vnd.ms-excel.controlproperties+xml"/>
  <Override PartName="/xl/comments10.xml" ContentType="application/vnd.openxmlformats-officedocument.spreadsheetml.comments+xml"/>
  <Override PartName="/xl/comments11.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S:\Programs\SCInet\Working groups\Standards\"/>
    </mc:Choice>
  </mc:AlternateContent>
  <xr:revisionPtr revIDLastSave="0" documentId="8_{22AFC0BF-387B-E442-99E0-8784C50E2B93}" xr6:coauthVersionLast="47" xr6:coauthVersionMax="47" xr10:uidLastSave="{00000000-0000-0000-0000-000000000000}"/>
  <bookViews>
    <workbookView xWindow="0" yWindow="0" windowWidth="19200" windowHeight="11595" tabRatio="781" xr2:uid="{00000000-000D-0000-FFFF-FFFF00000000}"/>
  </bookViews>
  <sheets>
    <sheet name="General Information" sheetId="7" r:id="rId1"/>
    <sheet name="Test Entry" sheetId="12" r:id="rId2"/>
    <sheet name="Test-1" sheetId="1" r:id="rId3"/>
    <sheet name="Test-2" sheetId="13" r:id="rId4"/>
    <sheet name="Test-3" sheetId="14" r:id="rId5"/>
    <sheet name="Test-4" sheetId="24" r:id="rId6"/>
    <sheet name="Test-5" sheetId="26" r:id="rId7"/>
    <sheet name="Test-6" sheetId="25" r:id="rId8"/>
    <sheet name="Test-7" sheetId="27" r:id="rId9"/>
    <sheet name="Test-8" sheetId="28" r:id="rId10"/>
    <sheet name="Test-9" sheetId="29" r:id="rId11"/>
    <sheet name="Test-10" sheetId="30" r:id="rId12"/>
    <sheet name="Results" sheetId="4" r:id="rId13"/>
    <sheet name="IWA Summary" sheetId="16" r:id="rId14"/>
    <sheet name="Fuel Moisture" sheetId="5" r:id="rId15"/>
    <sheet name="Lists" sheetId="9" r:id="rId16"/>
    <sheet name="Calorific values" sheetId="6" r:id="rId17"/>
    <sheet name="Catalog Import Data" sheetId="31" r:id="rId18"/>
  </sheets>
  <definedNames>
    <definedName name="_xlnm.Print_Area" localSheetId="14">'Fuel Moisture'!$A$1:$U$33</definedName>
    <definedName name="_xlnm.Print_Area" localSheetId="0">'General Information'!$B$1:$N$53</definedName>
    <definedName name="_xlnm.Print_Area" localSheetId="12">Results!$A$1:$Q$70</definedName>
    <definedName name="charFracC">'General Information'!$L$12</definedName>
    <definedName name="FuelCalorific">'Calorific values'!$B$3:$M$91</definedName>
    <definedName name="fuelFracC">'General Information'!$L$23</definedName>
    <definedName name="version">Lists!$N$1</definedName>
    <definedName name="WindConditions">Lists!$A$3:$B$8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3" i="1" l="1"/>
  <c r="W56" i="1"/>
  <c r="W57" i="1"/>
  <c r="W67" i="1"/>
  <c r="W28" i="1"/>
  <c r="W29" i="1"/>
  <c r="L12" i="7"/>
  <c r="B3" i="6"/>
  <c r="L23" i="7"/>
  <c r="W71" i="1"/>
  <c r="W33" i="1"/>
  <c r="AE56" i="1"/>
  <c r="AE57" i="1"/>
  <c r="AE67" i="1"/>
  <c r="AP28" i="1"/>
  <c r="AP29" i="1"/>
  <c r="AE71" i="1"/>
  <c r="AP33" i="1"/>
  <c r="AE51" i="1"/>
  <c r="D52" i="4"/>
  <c r="AA33" i="13"/>
  <c r="W56" i="13"/>
  <c r="W57" i="13"/>
  <c r="W67" i="13"/>
  <c r="W28" i="13"/>
  <c r="W29" i="13"/>
  <c r="W71" i="13"/>
  <c r="W33" i="13"/>
  <c r="AE56" i="13"/>
  <c r="AE57" i="13"/>
  <c r="AE67" i="13"/>
  <c r="AP28" i="13"/>
  <c r="AP29" i="13"/>
  <c r="AE71" i="13"/>
  <c r="AP33" i="13"/>
  <c r="AE51" i="13"/>
  <c r="E52" i="4"/>
  <c r="AA33" i="14"/>
  <c r="W56" i="14"/>
  <c r="W57" i="14"/>
  <c r="W67" i="14"/>
  <c r="W28" i="14"/>
  <c r="W29" i="14"/>
  <c r="W71" i="14"/>
  <c r="W33" i="14"/>
  <c r="AE56" i="14"/>
  <c r="AE57" i="14"/>
  <c r="AE67" i="14"/>
  <c r="AP28" i="14"/>
  <c r="AP29" i="14"/>
  <c r="AE71" i="14"/>
  <c r="AP33" i="14"/>
  <c r="AE51" i="14"/>
  <c r="F52" i="4"/>
  <c r="AA33" i="24"/>
  <c r="W56" i="24"/>
  <c r="W57" i="24"/>
  <c r="W67" i="24"/>
  <c r="W28" i="24"/>
  <c r="W29" i="24"/>
  <c r="W71" i="24"/>
  <c r="W33" i="24"/>
  <c r="AE56" i="24"/>
  <c r="AE57" i="24"/>
  <c r="AE67" i="24"/>
  <c r="AP28" i="24"/>
  <c r="AP29" i="24"/>
  <c r="AE71" i="24"/>
  <c r="AP33" i="24"/>
  <c r="AE51" i="24"/>
  <c r="G52" i="4"/>
  <c r="AA33" i="30"/>
  <c r="W56" i="30"/>
  <c r="W57" i="30"/>
  <c r="W67" i="30"/>
  <c r="W28" i="30"/>
  <c r="W29" i="30"/>
  <c r="W71" i="30"/>
  <c r="W33" i="30"/>
  <c r="AE56" i="30"/>
  <c r="AE57" i="30"/>
  <c r="AE67" i="30"/>
  <c r="AP28" i="30"/>
  <c r="AP29" i="30"/>
  <c r="AE71" i="30"/>
  <c r="AP33" i="30"/>
  <c r="AE51" i="30"/>
  <c r="M52" i="4"/>
  <c r="AA33" i="29"/>
  <c r="W56" i="29"/>
  <c r="W57" i="29"/>
  <c r="W67" i="29"/>
  <c r="W28" i="29"/>
  <c r="W29" i="29"/>
  <c r="W71" i="29"/>
  <c r="W33" i="29"/>
  <c r="AE56" i="29"/>
  <c r="AE57" i="29"/>
  <c r="AE67" i="29"/>
  <c r="AP28" i="29"/>
  <c r="AP29" i="29"/>
  <c r="AE71" i="29"/>
  <c r="AP33" i="29"/>
  <c r="AE51" i="29"/>
  <c r="L52" i="4"/>
  <c r="AA33" i="28"/>
  <c r="W56" i="28"/>
  <c r="W57" i="28"/>
  <c r="W67" i="28"/>
  <c r="W28" i="28"/>
  <c r="W29" i="28"/>
  <c r="W71" i="28"/>
  <c r="W33" i="28"/>
  <c r="AE56" i="28"/>
  <c r="AE57" i="28"/>
  <c r="AE67" i="28"/>
  <c r="AP28" i="28"/>
  <c r="AP29" i="28"/>
  <c r="AE71" i="28"/>
  <c r="AP33" i="28"/>
  <c r="AE51" i="28"/>
  <c r="K52" i="4"/>
  <c r="AA33" i="27"/>
  <c r="W56" i="27"/>
  <c r="W57" i="27"/>
  <c r="W67" i="27"/>
  <c r="W28" i="27"/>
  <c r="W29" i="27"/>
  <c r="W71" i="27"/>
  <c r="W33" i="27"/>
  <c r="AE56" i="27"/>
  <c r="AE57" i="27"/>
  <c r="AE67" i="27"/>
  <c r="AP28" i="27"/>
  <c r="AP29" i="27"/>
  <c r="AE71" i="27"/>
  <c r="AP33" i="27"/>
  <c r="AE51" i="27"/>
  <c r="J52" i="4"/>
  <c r="AA33" i="25"/>
  <c r="W56" i="25"/>
  <c r="W57" i="25"/>
  <c r="W67" i="25"/>
  <c r="W28" i="25"/>
  <c r="W29" i="25"/>
  <c r="W71" i="25"/>
  <c r="W33" i="25"/>
  <c r="AE56" i="25"/>
  <c r="AE57" i="25"/>
  <c r="AE67" i="25"/>
  <c r="AP28" i="25"/>
  <c r="AP29" i="25"/>
  <c r="AE71" i="25"/>
  <c r="AP33" i="25"/>
  <c r="AE51" i="25"/>
  <c r="I52" i="4"/>
  <c r="AA33" i="26"/>
  <c r="W56" i="26"/>
  <c r="W57" i="26"/>
  <c r="W67" i="26"/>
  <c r="W28" i="26"/>
  <c r="W29" i="26"/>
  <c r="W71" i="26"/>
  <c r="W33" i="26"/>
  <c r="AE56" i="26"/>
  <c r="AE57" i="26"/>
  <c r="AE67" i="26"/>
  <c r="AP28" i="26"/>
  <c r="AP29" i="26"/>
  <c r="AE71" i="26"/>
  <c r="AP33" i="26"/>
  <c r="AE51" i="26"/>
  <c r="H52" i="4"/>
  <c r="C62" i="4"/>
  <c r="J29" i="16"/>
  <c r="W66" i="1"/>
  <c r="W70" i="1"/>
  <c r="AE66" i="1"/>
  <c r="AE70" i="1"/>
  <c r="AE50" i="1"/>
  <c r="D51" i="4"/>
  <c r="W66" i="13"/>
  <c r="W70" i="13"/>
  <c r="AE66" i="13"/>
  <c r="AE70" i="13"/>
  <c r="AE50" i="13"/>
  <c r="E51" i="4"/>
  <c r="W66" i="14"/>
  <c r="W70" i="14"/>
  <c r="AE66" i="14"/>
  <c r="AE70" i="14"/>
  <c r="AE50" i="14"/>
  <c r="F51" i="4"/>
  <c r="W66" i="24"/>
  <c r="W70" i="24"/>
  <c r="AE66" i="24"/>
  <c r="AE70" i="24"/>
  <c r="AE50" i="24"/>
  <c r="G51" i="4"/>
  <c r="W66" i="30"/>
  <c r="W70" i="30"/>
  <c r="AE66" i="30"/>
  <c r="AE70" i="30"/>
  <c r="AE50" i="30"/>
  <c r="M51" i="4"/>
  <c r="W66" i="29"/>
  <c r="W70" i="29"/>
  <c r="AE66" i="29"/>
  <c r="AE70" i="29"/>
  <c r="AE50" i="29"/>
  <c r="L51" i="4"/>
  <c r="W66" i="28"/>
  <c r="W70" i="28"/>
  <c r="AE66" i="28"/>
  <c r="AE70" i="28"/>
  <c r="AE50" i="28"/>
  <c r="K51" i="4"/>
  <c r="W66" i="27"/>
  <c r="W70" i="27"/>
  <c r="AE66" i="27"/>
  <c r="AE70" i="27"/>
  <c r="AE50" i="27"/>
  <c r="J51" i="4"/>
  <c r="W66" i="25"/>
  <c r="W70" i="25"/>
  <c r="AE66" i="25"/>
  <c r="AE70" i="25"/>
  <c r="AE50" i="25"/>
  <c r="I51" i="4"/>
  <c r="W66" i="26"/>
  <c r="W70" i="26"/>
  <c r="AE66" i="26"/>
  <c r="AE70" i="26"/>
  <c r="AE50" i="26"/>
  <c r="H51" i="4"/>
  <c r="C61" i="4"/>
  <c r="J28" i="16"/>
  <c r="N20" i="1"/>
  <c r="AP32" i="1"/>
  <c r="AE49" i="1"/>
  <c r="D50" i="4"/>
  <c r="N20" i="13"/>
  <c r="AP32" i="13"/>
  <c r="AE49" i="13"/>
  <c r="E50" i="4"/>
  <c r="N20" i="14"/>
  <c r="AP32" i="14"/>
  <c r="AE49" i="14"/>
  <c r="F50" i="4"/>
  <c r="N20" i="24"/>
  <c r="AP32" i="24"/>
  <c r="AE49" i="24"/>
  <c r="G50" i="4"/>
  <c r="N20" i="30"/>
  <c r="AP32" i="30"/>
  <c r="AE49" i="30"/>
  <c r="M50" i="4"/>
  <c r="N20" i="29"/>
  <c r="AP32" i="29"/>
  <c r="AE49" i="29"/>
  <c r="L50" i="4"/>
  <c r="N20" i="28"/>
  <c r="AP32" i="28"/>
  <c r="AE49" i="28"/>
  <c r="K50" i="4"/>
  <c r="N20" i="27"/>
  <c r="AP32" i="27"/>
  <c r="AE49" i="27"/>
  <c r="J50" i="4"/>
  <c r="N20" i="25"/>
  <c r="AP32" i="25"/>
  <c r="AE49" i="25"/>
  <c r="I50" i="4"/>
  <c r="N20" i="26"/>
  <c r="AP32" i="26"/>
  <c r="AE49" i="26"/>
  <c r="H50" i="4"/>
  <c r="C60" i="4"/>
  <c r="J26" i="16"/>
  <c r="L10" i="7"/>
  <c r="L22" i="7"/>
  <c r="W31" i="1"/>
  <c r="E20" i="1"/>
  <c r="L11" i="7"/>
  <c r="E23" i="1"/>
  <c r="W30" i="1"/>
  <c r="W35" i="1"/>
  <c r="AE48" i="1"/>
  <c r="D49" i="4"/>
  <c r="W31" i="13"/>
  <c r="E20" i="13"/>
  <c r="E23" i="13"/>
  <c r="W30" i="13"/>
  <c r="W35" i="13"/>
  <c r="AE48" i="13"/>
  <c r="E49" i="4"/>
  <c r="W31" i="14"/>
  <c r="E20" i="14"/>
  <c r="E23" i="14"/>
  <c r="W30" i="14"/>
  <c r="W35" i="14"/>
  <c r="AE48" i="14"/>
  <c r="F49" i="4"/>
  <c r="W31" i="24"/>
  <c r="E20" i="24"/>
  <c r="E23" i="24"/>
  <c r="W30" i="24"/>
  <c r="W35" i="24"/>
  <c r="AE48" i="24"/>
  <c r="G49" i="4"/>
  <c r="W31" i="30"/>
  <c r="E20" i="30"/>
  <c r="E23" i="30"/>
  <c r="W30" i="30"/>
  <c r="W35" i="30"/>
  <c r="AE48" i="30"/>
  <c r="M49" i="4"/>
  <c r="W31" i="29"/>
  <c r="E20" i="29"/>
  <c r="E23" i="29"/>
  <c r="W30" i="29"/>
  <c r="W35" i="29"/>
  <c r="AE48" i="29"/>
  <c r="L49" i="4"/>
  <c r="W31" i="28"/>
  <c r="E20" i="28"/>
  <c r="E23" i="28"/>
  <c r="W30" i="28"/>
  <c r="W35" i="28"/>
  <c r="AE48" i="28"/>
  <c r="K49" i="4"/>
  <c r="W31" i="27"/>
  <c r="E20" i="27"/>
  <c r="E23" i="27"/>
  <c r="W30" i="27"/>
  <c r="W35" i="27"/>
  <c r="AE48" i="27"/>
  <c r="J49" i="4"/>
  <c r="W31" i="25"/>
  <c r="E20" i="25"/>
  <c r="E23" i="25"/>
  <c r="W30" i="25"/>
  <c r="W35" i="25"/>
  <c r="AE48" i="25"/>
  <c r="I49" i="4"/>
  <c r="W31" i="26"/>
  <c r="E20" i="26"/>
  <c r="E23" i="26"/>
  <c r="W30" i="26"/>
  <c r="W35" i="26"/>
  <c r="AE48" i="26"/>
  <c r="H49" i="4"/>
  <c r="C59" i="4"/>
  <c r="J25" i="16"/>
  <c r="D5" i="31"/>
  <c r="AE47" i="1"/>
  <c r="D48" i="4"/>
  <c r="AE47" i="13"/>
  <c r="E48" i="4"/>
  <c r="AE47" i="14"/>
  <c r="F48" i="4"/>
  <c r="AE47" i="24"/>
  <c r="G48" i="4"/>
  <c r="AE47" i="30"/>
  <c r="M48" i="4"/>
  <c r="AE47" i="29"/>
  <c r="L48" i="4"/>
  <c r="AE47" i="28"/>
  <c r="K48" i="4"/>
  <c r="AE47" i="27"/>
  <c r="J48" i="4"/>
  <c r="AE47" i="25"/>
  <c r="I48" i="4"/>
  <c r="AE47" i="26"/>
  <c r="H48" i="4"/>
  <c r="C58" i="4"/>
  <c r="J24" i="16"/>
  <c r="AE46" i="1"/>
  <c r="D47" i="4"/>
  <c r="AE46" i="13"/>
  <c r="E47" i="4"/>
  <c r="AE46" i="14"/>
  <c r="F47" i="4"/>
  <c r="AE46" i="24"/>
  <c r="G47" i="4"/>
  <c r="AE46" i="30"/>
  <c r="M47" i="4"/>
  <c r="AE46" i="29"/>
  <c r="L47" i="4"/>
  <c r="AE46" i="28"/>
  <c r="K47" i="4"/>
  <c r="AE46" i="27"/>
  <c r="J47" i="4"/>
  <c r="AE46" i="25"/>
  <c r="I47" i="4"/>
  <c r="AE46" i="26"/>
  <c r="H47" i="4"/>
  <c r="C57" i="4"/>
  <c r="J23" i="16"/>
  <c r="AP30" i="1"/>
  <c r="AE45" i="1"/>
  <c r="D46" i="4"/>
  <c r="AP30" i="13"/>
  <c r="AE45" i="13"/>
  <c r="E46" i="4"/>
  <c r="AP30" i="14"/>
  <c r="AE45" i="14"/>
  <c r="F46" i="4"/>
  <c r="AP30" i="24"/>
  <c r="AE45" i="24"/>
  <c r="G46" i="4"/>
  <c r="AP30" i="30"/>
  <c r="AE45" i="30"/>
  <c r="M46" i="4"/>
  <c r="AP30" i="29"/>
  <c r="AE45" i="29"/>
  <c r="L46" i="4"/>
  <c r="AP30" i="28"/>
  <c r="AE45" i="28"/>
  <c r="K46" i="4"/>
  <c r="AP30" i="27"/>
  <c r="AE45" i="27"/>
  <c r="J46" i="4"/>
  <c r="AP30" i="25"/>
  <c r="AE45" i="25"/>
  <c r="I46" i="4"/>
  <c r="AP30" i="26"/>
  <c r="AE45" i="26"/>
  <c r="H46" i="4"/>
  <c r="C56" i="4"/>
  <c r="J21" i="16"/>
  <c r="AE44" i="1"/>
  <c r="D45" i="4"/>
  <c r="AE44" i="13"/>
  <c r="E45" i="4"/>
  <c r="AE44" i="14"/>
  <c r="F45" i="4"/>
  <c r="AE44" i="24"/>
  <c r="G45" i="4"/>
  <c r="AE44" i="30"/>
  <c r="M45" i="4"/>
  <c r="AE44" i="29"/>
  <c r="L45" i="4"/>
  <c r="AE44" i="28"/>
  <c r="K45" i="4"/>
  <c r="AE44" i="27"/>
  <c r="J45" i="4"/>
  <c r="AE44" i="25"/>
  <c r="I45" i="4"/>
  <c r="AE44" i="26"/>
  <c r="H45" i="4"/>
  <c r="C55" i="4"/>
  <c r="J20" i="16"/>
  <c r="N52" i="4"/>
  <c r="H29" i="16"/>
  <c r="N51" i="4"/>
  <c r="H28" i="16"/>
  <c r="N50" i="4"/>
  <c r="H26" i="16"/>
  <c r="N49" i="4"/>
  <c r="H25" i="16"/>
  <c r="N48" i="4"/>
  <c r="H24" i="16"/>
  <c r="N47" i="4"/>
  <c r="H23" i="16"/>
  <c r="N46" i="4"/>
  <c r="H21" i="16"/>
  <c r="N45" i="4"/>
  <c r="H20" i="16"/>
  <c r="C4" i="4"/>
  <c r="C8" i="4"/>
  <c r="C7" i="4"/>
  <c r="C6" i="4"/>
  <c r="E9" i="16"/>
  <c r="E5" i="16"/>
  <c r="E11" i="16"/>
  <c r="D10" i="24"/>
  <c r="D9" i="1"/>
  <c r="B5" i="31"/>
  <c r="D21" i="4"/>
  <c r="E21" i="4"/>
  <c r="F21" i="4"/>
  <c r="G21" i="4"/>
  <c r="M21" i="4"/>
  <c r="L21" i="4"/>
  <c r="K21" i="4"/>
  <c r="J21" i="4"/>
  <c r="I21" i="4"/>
  <c r="H21" i="4"/>
  <c r="O21" i="4"/>
  <c r="H54" i="31"/>
  <c r="N21" i="4"/>
  <c r="G54" i="31"/>
  <c r="D11" i="4"/>
  <c r="E11" i="4"/>
  <c r="F11" i="4"/>
  <c r="G11" i="4"/>
  <c r="M11" i="4"/>
  <c r="L11" i="4"/>
  <c r="K11" i="4"/>
  <c r="J11" i="4"/>
  <c r="I11" i="4"/>
  <c r="H11" i="4"/>
  <c r="O11" i="4"/>
  <c r="H53" i="31"/>
  <c r="N11" i="4"/>
  <c r="G53" i="31"/>
  <c r="G43" i="31"/>
  <c r="G42" i="31"/>
  <c r="G41" i="31"/>
  <c r="G40" i="31"/>
  <c r="G39" i="31"/>
  <c r="G38" i="31"/>
  <c r="G37" i="31"/>
  <c r="G36" i="31"/>
  <c r="G35" i="31"/>
  <c r="G34" i="31"/>
  <c r="B10" i="31"/>
  <c r="B9" i="31"/>
  <c r="B8" i="31"/>
  <c r="B6" i="31"/>
  <c r="B3" i="31"/>
  <c r="K66" i="5"/>
  <c r="M66" i="5"/>
  <c r="D66" i="5"/>
  <c r="F66" i="5"/>
  <c r="K53" i="5"/>
  <c r="M53" i="5"/>
  <c r="D53" i="5"/>
  <c r="F53" i="5"/>
  <c r="K40" i="5"/>
  <c r="M40" i="5"/>
  <c r="D40" i="5"/>
  <c r="F40" i="5"/>
  <c r="K27" i="5"/>
  <c r="M27" i="5"/>
  <c r="D27" i="5"/>
  <c r="F27" i="5"/>
  <c r="K14" i="5"/>
  <c r="M14" i="5"/>
  <c r="D14" i="5"/>
  <c r="F14" i="5"/>
  <c r="J48" i="16"/>
  <c r="J47" i="16"/>
  <c r="J49" i="16"/>
  <c r="J50" i="16"/>
  <c r="J51" i="16"/>
  <c r="J56" i="16"/>
  <c r="J55" i="16"/>
  <c r="J54" i="16"/>
  <c r="J53" i="16"/>
  <c r="J52" i="16"/>
  <c r="J57" i="16"/>
  <c r="E10" i="16"/>
  <c r="E16" i="16"/>
  <c r="E6" i="16"/>
  <c r="E7" i="16"/>
  <c r="U2" i="30"/>
  <c r="U52" i="30"/>
  <c r="B38" i="30"/>
  <c r="A2" i="30"/>
  <c r="B38" i="29"/>
  <c r="U52" i="29"/>
  <c r="U2" i="29"/>
  <c r="A2" i="29"/>
  <c r="U52" i="28"/>
  <c r="B38" i="28"/>
  <c r="U2" i="28"/>
  <c r="A2" i="28"/>
  <c r="U52" i="27"/>
  <c r="B38" i="27"/>
  <c r="U2" i="27"/>
  <c r="A2" i="27"/>
  <c r="U52" i="25"/>
  <c r="B38" i="25"/>
  <c r="A2" i="25"/>
  <c r="U2" i="25"/>
  <c r="B38" i="26"/>
  <c r="U52" i="26"/>
  <c r="U2" i="26"/>
  <c r="A2" i="26"/>
  <c r="B38" i="24"/>
  <c r="U52" i="24"/>
  <c r="U2" i="24"/>
  <c r="U2" i="14"/>
  <c r="U2" i="13"/>
  <c r="A2" i="24"/>
  <c r="AE65" i="30"/>
  <c r="AA56" i="30"/>
  <c r="AA65" i="30"/>
  <c r="W65" i="30"/>
  <c r="AA55" i="30"/>
  <c r="AA74" i="30"/>
  <c r="AE55" i="30"/>
  <c r="AP31" i="30"/>
  <c r="AA31" i="30"/>
  <c r="AA28" i="30"/>
  <c r="AA29" i="30"/>
  <c r="AI17" i="30"/>
  <c r="D11" i="30"/>
  <c r="D10" i="30"/>
  <c r="D9" i="30"/>
  <c r="AA56" i="29"/>
  <c r="AA66" i="29"/>
  <c r="AA28" i="29"/>
  <c r="AA29" i="29"/>
  <c r="AA70" i="29"/>
  <c r="AA55" i="29"/>
  <c r="AA73" i="29"/>
  <c r="AE55" i="29"/>
  <c r="AE73" i="29"/>
  <c r="AP31" i="29"/>
  <c r="AA31" i="29"/>
  <c r="AI17" i="29"/>
  <c r="D11" i="29"/>
  <c r="D10" i="29"/>
  <c r="D9" i="29"/>
  <c r="AA56" i="28"/>
  <c r="AA65" i="28"/>
  <c r="AA28" i="28"/>
  <c r="AA29" i="28"/>
  <c r="AA69" i="28"/>
  <c r="AA32" i="28"/>
  <c r="AA61" i="28"/>
  <c r="W65" i="28"/>
  <c r="AA55" i="28"/>
  <c r="AA73" i="28"/>
  <c r="AE55" i="28"/>
  <c r="AE73" i="28"/>
  <c r="AP31" i="28"/>
  <c r="AA31" i="28"/>
  <c r="W32" i="28"/>
  <c r="AI17" i="28"/>
  <c r="D11" i="28"/>
  <c r="D10" i="28"/>
  <c r="D9" i="28"/>
  <c r="AE65" i="27"/>
  <c r="AA56" i="27"/>
  <c r="AA65" i="27"/>
  <c r="AA55" i="27"/>
  <c r="AA75" i="27"/>
  <c r="AE55" i="27"/>
  <c r="AE75" i="27"/>
  <c r="AP31" i="27"/>
  <c r="AA31" i="27"/>
  <c r="AA28" i="27"/>
  <c r="AA29" i="27"/>
  <c r="AI17" i="27"/>
  <c r="D11" i="27"/>
  <c r="D10" i="27"/>
  <c r="D9" i="27"/>
  <c r="AE65" i="26"/>
  <c r="AA56" i="26"/>
  <c r="AA65" i="26"/>
  <c r="AA28" i="26"/>
  <c r="AA29" i="26"/>
  <c r="AA69" i="26"/>
  <c r="AA32" i="26"/>
  <c r="AA61" i="26"/>
  <c r="W65" i="26"/>
  <c r="AA55" i="26"/>
  <c r="AA73" i="26"/>
  <c r="AE55" i="26"/>
  <c r="AE73" i="26"/>
  <c r="AP31" i="26"/>
  <c r="AA31" i="26"/>
  <c r="AI17" i="26"/>
  <c r="D11" i="26"/>
  <c r="D10" i="26"/>
  <c r="D9" i="26"/>
  <c r="AA56" i="25"/>
  <c r="AA55" i="25"/>
  <c r="AA73" i="25"/>
  <c r="AE55" i="25"/>
  <c r="AP31" i="25"/>
  <c r="AA31" i="25"/>
  <c r="AA28" i="25"/>
  <c r="AA29" i="25"/>
  <c r="AI17" i="25"/>
  <c r="D11" i="25"/>
  <c r="D10" i="25"/>
  <c r="D9" i="25"/>
  <c r="AA56" i="24"/>
  <c r="W65" i="24"/>
  <c r="AE55" i="24"/>
  <c r="AE74" i="24"/>
  <c r="W55" i="24"/>
  <c r="W74" i="24"/>
  <c r="AP31" i="24"/>
  <c r="AA31" i="24"/>
  <c r="AA28" i="24"/>
  <c r="AA29" i="24"/>
  <c r="AA30" i="24"/>
  <c r="AI17" i="24"/>
  <c r="D11" i="24"/>
  <c r="D9" i="24"/>
  <c r="W55" i="30"/>
  <c r="W73" i="30"/>
  <c r="AA30" i="30"/>
  <c r="AA73" i="30"/>
  <c r="AA30" i="29"/>
  <c r="W55" i="29"/>
  <c r="W74" i="29"/>
  <c r="W55" i="28"/>
  <c r="W73" i="28"/>
  <c r="AA30" i="28"/>
  <c r="W55" i="27"/>
  <c r="W73" i="27"/>
  <c r="AA30" i="27"/>
  <c r="AA36" i="27"/>
  <c r="J23" i="4"/>
  <c r="W55" i="26"/>
  <c r="W74" i="26"/>
  <c r="AE75" i="26"/>
  <c r="AA30" i="26"/>
  <c r="AA37" i="26"/>
  <c r="AA38" i="26"/>
  <c r="AA75" i="26"/>
  <c r="AA30" i="25"/>
  <c r="W55" i="25"/>
  <c r="W75" i="25"/>
  <c r="AA55" i="24"/>
  <c r="AA73" i="24"/>
  <c r="AE75" i="24"/>
  <c r="W75" i="30"/>
  <c r="W74" i="28"/>
  <c r="AA28" i="13"/>
  <c r="AA29" i="13"/>
  <c r="AA28" i="1"/>
  <c r="AA29" i="1"/>
  <c r="AA30" i="1"/>
  <c r="AA36" i="1"/>
  <c r="D23" i="4"/>
  <c r="O23" i="4"/>
  <c r="H65" i="31"/>
  <c r="A2" i="14"/>
  <c r="AA56" i="14"/>
  <c r="AA57" i="14"/>
  <c r="AA67" i="14"/>
  <c r="W34" i="13"/>
  <c r="E12" i="4"/>
  <c r="AE65" i="14"/>
  <c r="AE65" i="13"/>
  <c r="AA55" i="14"/>
  <c r="AA73" i="14"/>
  <c r="AA56" i="13"/>
  <c r="AP31" i="14"/>
  <c r="AP31" i="13"/>
  <c r="AA31" i="13"/>
  <c r="AA30" i="13"/>
  <c r="AA31" i="14"/>
  <c r="AA28" i="14"/>
  <c r="AA29" i="14"/>
  <c r="W55" i="1"/>
  <c r="W74" i="1"/>
  <c r="AA31" i="1"/>
  <c r="AA55" i="1"/>
  <c r="AA73" i="1"/>
  <c r="D9" i="13"/>
  <c r="D10" i="13"/>
  <c r="D11" i="13"/>
  <c r="AI17" i="13"/>
  <c r="B38" i="13"/>
  <c r="U52" i="13"/>
  <c r="AI17" i="1"/>
  <c r="AI17" i="14"/>
  <c r="U52" i="1"/>
  <c r="AA56" i="1"/>
  <c r="AA65" i="1"/>
  <c r="AA69" i="1"/>
  <c r="D1" i="12"/>
  <c r="H1" i="7"/>
  <c r="A4" i="9"/>
  <c r="A5" i="9"/>
  <c r="A6" i="9"/>
  <c r="A7" i="9"/>
  <c r="A8" i="9"/>
  <c r="Y3" i="6"/>
  <c r="B4" i="6"/>
  <c r="I4" i="6"/>
  <c r="K4" i="6"/>
  <c r="Y4" i="6"/>
  <c r="AD4" i="6"/>
  <c r="AE4" i="6"/>
  <c r="I14" i="6"/>
  <c r="B5" i="6"/>
  <c r="I5" i="6"/>
  <c r="K5" i="6"/>
  <c r="Y5" i="6"/>
  <c r="AD5" i="6"/>
  <c r="AE5" i="6"/>
  <c r="B6" i="6"/>
  <c r="K6" i="6"/>
  <c r="M6" i="6"/>
  <c r="B7" i="6"/>
  <c r="B8" i="6"/>
  <c r="B9" i="6"/>
  <c r="K8" i="6"/>
  <c r="I9" i="6"/>
  <c r="K9" i="6"/>
  <c r="B10" i="6"/>
  <c r="B11" i="6"/>
  <c r="I10" i="6"/>
  <c r="K10" i="6"/>
  <c r="I11" i="6"/>
  <c r="K11" i="6"/>
  <c r="B12" i="6"/>
  <c r="B13" i="6"/>
  <c r="B14" i="6"/>
  <c r="K12" i="6"/>
  <c r="Y12" i="6"/>
  <c r="AD12" i="6"/>
  <c r="AE12" i="6"/>
  <c r="I68" i="6"/>
  <c r="K13" i="6"/>
  <c r="Y13" i="6"/>
  <c r="AD13" i="6"/>
  <c r="AE13" i="6"/>
  <c r="K14" i="6"/>
  <c r="Y14" i="6"/>
  <c r="AD14" i="6"/>
  <c r="AE14" i="6"/>
  <c r="B15" i="6"/>
  <c r="B16" i="6"/>
  <c r="H15" i="6"/>
  <c r="I15" i="6"/>
  <c r="K15" i="6"/>
  <c r="Y15" i="6"/>
  <c r="AD15" i="6"/>
  <c r="AE15" i="6"/>
  <c r="K16" i="6"/>
  <c r="Y16" i="6"/>
  <c r="AD16" i="6"/>
  <c r="AE16" i="6"/>
  <c r="B17" i="6"/>
  <c r="K17" i="6"/>
  <c r="Y17" i="6"/>
  <c r="AE17" i="6"/>
  <c r="B18" i="6"/>
  <c r="B19" i="6"/>
  <c r="K18" i="6"/>
  <c r="Y18" i="6"/>
  <c r="AD18" i="6"/>
  <c r="AE18" i="6"/>
  <c r="H19" i="6"/>
  <c r="I19" i="6"/>
  <c r="K19" i="6"/>
  <c r="Y19" i="6"/>
  <c r="AD19" i="6"/>
  <c r="AE19" i="6"/>
  <c r="B20" i="6"/>
  <c r="B21" i="6"/>
  <c r="B22" i="6"/>
  <c r="H20" i="6"/>
  <c r="I20" i="6"/>
  <c r="K20" i="6"/>
  <c r="Y20" i="6"/>
  <c r="AD20" i="6"/>
  <c r="AE20" i="6"/>
  <c r="I22" i="6"/>
  <c r="H21" i="6"/>
  <c r="I21" i="6"/>
  <c r="K21" i="6"/>
  <c r="Y21" i="6"/>
  <c r="AD21" i="6"/>
  <c r="AE21" i="6"/>
  <c r="K22" i="6"/>
  <c r="Y22" i="6"/>
  <c r="AD22" i="6"/>
  <c r="AE22" i="6"/>
  <c r="B23" i="6"/>
  <c r="B24" i="6"/>
  <c r="K23" i="6"/>
  <c r="Y23" i="6"/>
  <c r="AD23" i="6"/>
  <c r="AE23" i="6"/>
  <c r="I66" i="6"/>
  <c r="K66" i="6"/>
  <c r="H24" i="6"/>
  <c r="I24" i="6"/>
  <c r="K24" i="6"/>
  <c r="Y24" i="6"/>
  <c r="AD24" i="6"/>
  <c r="AE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K25" i="6"/>
  <c r="Y25" i="6"/>
  <c r="AD25" i="6"/>
  <c r="AE25" i="6"/>
  <c r="I82" i="6"/>
  <c r="K26" i="6"/>
  <c r="Y26" i="6"/>
  <c r="AD26" i="6"/>
  <c r="AE26" i="6"/>
  <c r="H27" i="6"/>
  <c r="I27" i="6"/>
  <c r="K27" i="6"/>
  <c r="Y27" i="6"/>
  <c r="I28" i="6"/>
  <c r="K28" i="6"/>
  <c r="Y28" i="6"/>
  <c r="K29" i="6"/>
  <c r="Y29" i="6"/>
  <c r="H30" i="6"/>
  <c r="I30" i="6"/>
  <c r="K30" i="6"/>
  <c r="Y30" i="6"/>
  <c r="K31" i="6"/>
  <c r="Y31" i="6"/>
  <c r="K32" i="6"/>
  <c r="Y32" i="6"/>
  <c r="K33" i="6"/>
  <c r="Y33" i="6"/>
  <c r="H34" i="6"/>
  <c r="I34" i="6"/>
  <c r="K34" i="6"/>
  <c r="Y34" i="6"/>
  <c r="K35" i="6"/>
  <c r="Y35" i="6"/>
  <c r="K36" i="6"/>
  <c r="Y36" i="6"/>
  <c r="K37" i="6"/>
  <c r="Y37" i="6"/>
  <c r="H38" i="6"/>
  <c r="I38" i="6"/>
  <c r="K38" i="6"/>
  <c r="Y38" i="6"/>
  <c r="Y39" i="6"/>
  <c r="K40" i="6"/>
  <c r="Y40" i="6"/>
  <c r="K41" i="6"/>
  <c r="Y41" i="6"/>
  <c r="H42" i="6"/>
  <c r="I42" i="6"/>
  <c r="K42" i="6"/>
  <c r="Y42" i="6"/>
  <c r="K43" i="6"/>
  <c r="Y43" i="6"/>
  <c r="K44" i="6"/>
  <c r="Y44" i="6"/>
  <c r="K45" i="6"/>
  <c r="Y45" i="6"/>
  <c r="K46" i="6"/>
  <c r="Y46" i="6"/>
  <c r="H47" i="6"/>
  <c r="I47" i="6"/>
  <c r="K47" i="6"/>
  <c r="Y47" i="6"/>
  <c r="H48" i="6"/>
  <c r="I48" i="6"/>
  <c r="K48" i="6"/>
  <c r="Y48" i="6"/>
  <c r="K49" i="6"/>
  <c r="Y49" i="6"/>
  <c r="K50" i="6"/>
  <c r="Y50" i="6"/>
  <c r="H51" i="6"/>
  <c r="I51" i="6"/>
  <c r="K51" i="6"/>
  <c r="Y51" i="6"/>
  <c r="H52" i="6"/>
  <c r="I52" i="6"/>
  <c r="K52" i="6"/>
  <c r="Y52" i="6"/>
  <c r="K53" i="6"/>
  <c r="Y53" i="6"/>
  <c r="H54" i="6"/>
  <c r="I54" i="6"/>
  <c r="K54" i="6"/>
  <c r="Y54" i="6"/>
  <c r="K55" i="6"/>
  <c r="Y55" i="6"/>
  <c r="I56" i="6"/>
  <c r="K56" i="6"/>
  <c r="K57" i="6"/>
  <c r="H58" i="6"/>
  <c r="I58" i="6"/>
  <c r="K58" i="6"/>
  <c r="H59" i="6"/>
  <c r="I59" i="6"/>
  <c r="K59" i="6"/>
  <c r="K60" i="6"/>
  <c r="H61" i="6"/>
  <c r="I61" i="6"/>
  <c r="K61" i="6"/>
  <c r="H62" i="6"/>
  <c r="I62" i="6"/>
  <c r="K62" i="6"/>
  <c r="I63" i="6"/>
  <c r="K63" i="6"/>
  <c r="H65" i="6"/>
  <c r="I65" i="6"/>
  <c r="K65" i="6"/>
  <c r="H67" i="6"/>
  <c r="I67" i="6"/>
  <c r="K67" i="6"/>
  <c r="K68" i="6"/>
  <c r="H69" i="6"/>
  <c r="I69" i="6"/>
  <c r="K69" i="6"/>
  <c r="K70" i="6"/>
  <c r="I71" i="6"/>
  <c r="K71" i="6"/>
  <c r="H72" i="6"/>
  <c r="I72" i="6"/>
  <c r="K72" i="6"/>
  <c r="I73" i="6"/>
  <c r="K73" i="6"/>
  <c r="I74" i="6"/>
  <c r="K74" i="6"/>
  <c r="H75" i="6"/>
  <c r="I75" i="6"/>
  <c r="K75" i="6"/>
  <c r="H76" i="6"/>
  <c r="I76" i="6"/>
  <c r="K76" i="6"/>
  <c r="K77" i="6"/>
  <c r="K78" i="6"/>
  <c r="K79" i="6"/>
  <c r="K80" i="6"/>
  <c r="H81" i="6"/>
  <c r="I81" i="6"/>
  <c r="K81" i="6"/>
  <c r="K82" i="6"/>
  <c r="H83" i="6"/>
  <c r="I83" i="6"/>
  <c r="K83" i="6"/>
  <c r="I84" i="6"/>
  <c r="K84" i="6"/>
  <c r="I85" i="6"/>
  <c r="K85" i="6"/>
  <c r="I86" i="6"/>
  <c r="K86" i="6"/>
  <c r="K87" i="6"/>
  <c r="K88" i="6"/>
  <c r="H89" i="6"/>
  <c r="I89" i="6"/>
  <c r="K89" i="6"/>
  <c r="K90" i="6"/>
  <c r="B2" i="4"/>
  <c r="D2" i="4"/>
  <c r="C5" i="4"/>
  <c r="D9" i="14"/>
  <c r="D10" i="14"/>
  <c r="D11" i="14"/>
  <c r="B38" i="14"/>
  <c r="U52" i="14"/>
  <c r="A2" i="13"/>
  <c r="A2" i="1"/>
  <c r="U2" i="1"/>
  <c r="D10" i="1"/>
  <c r="D11" i="1"/>
  <c r="AP31" i="1"/>
  <c r="AE55" i="1"/>
  <c r="AE75" i="1"/>
  <c r="B38" i="1"/>
  <c r="L9" i="7"/>
  <c r="L21" i="7"/>
  <c r="E19" i="14"/>
  <c r="L19" i="7"/>
  <c r="AE55" i="13"/>
  <c r="AA55" i="13"/>
  <c r="AE55" i="14"/>
  <c r="AE74" i="14"/>
  <c r="W55" i="14"/>
  <c r="AE75" i="14"/>
  <c r="I39" i="6"/>
  <c r="I64" i="6"/>
  <c r="K64" i="6"/>
  <c r="AA66" i="1"/>
  <c r="AA70" i="1"/>
  <c r="AA32" i="1"/>
  <c r="AA62" i="1"/>
  <c r="W73" i="14"/>
  <c r="I93" i="6"/>
  <c r="I96" i="6"/>
  <c r="AA30" i="14"/>
  <c r="AA32" i="14"/>
  <c r="AA37" i="14"/>
  <c r="W55" i="13"/>
  <c r="W75" i="13"/>
  <c r="K39" i="6"/>
  <c r="I95" i="6"/>
  <c r="I99" i="6"/>
  <c r="I98" i="6"/>
  <c r="I94" i="6"/>
  <c r="I97" i="6"/>
  <c r="AE73" i="13"/>
  <c r="P21" i="4"/>
  <c r="P11" i="4"/>
  <c r="AE65" i="1"/>
  <c r="AE69" i="1"/>
  <c r="AE73" i="14"/>
  <c r="AA75" i="14"/>
  <c r="AA74" i="14"/>
  <c r="W73" i="25"/>
  <c r="W74" i="30"/>
  <c r="AE73" i="24"/>
  <c r="AE74" i="25"/>
  <c r="W34" i="25"/>
  <c r="I12" i="4"/>
  <c r="W32" i="25"/>
  <c r="AE74" i="26"/>
  <c r="AE74" i="28"/>
  <c r="AA75" i="30"/>
  <c r="AE74" i="30"/>
  <c r="AA66" i="30"/>
  <c r="AA57" i="30"/>
  <c r="AE65" i="24"/>
  <c r="W75" i="1"/>
  <c r="W73" i="13"/>
  <c r="AA75" i="1"/>
  <c r="W74" i="25"/>
  <c r="W75" i="24"/>
  <c r="W73" i="24"/>
  <c r="AA34" i="28"/>
  <c r="K22" i="4"/>
  <c r="W34" i="28"/>
  <c r="K12" i="4"/>
  <c r="AE75" i="30"/>
  <c r="AA34" i="25"/>
  <c r="I22" i="4"/>
  <c r="W32" i="13"/>
  <c r="W63" i="13"/>
  <c r="W65" i="14"/>
  <c r="AA65" i="24"/>
  <c r="AA69" i="24"/>
  <c r="AA32" i="24"/>
  <c r="AA61" i="24"/>
  <c r="AA66" i="24"/>
  <c r="AA57" i="24"/>
  <c r="W65" i="27"/>
  <c r="AA74" i="29"/>
  <c r="AA57" i="29"/>
  <c r="W75" i="14"/>
  <c r="W74" i="14"/>
  <c r="AE74" i="1"/>
  <c r="AA65" i="14"/>
  <c r="AA74" i="25"/>
  <c r="AA57" i="25"/>
  <c r="AA67" i="25"/>
  <c r="AA71" i="25"/>
  <c r="AA32" i="25"/>
  <c r="AA63" i="25"/>
  <c r="AA66" i="25"/>
  <c r="AA65" i="25"/>
  <c r="AA69" i="25"/>
  <c r="AA61" i="25"/>
  <c r="AE65" i="28"/>
  <c r="AA74" i="26"/>
  <c r="AA66" i="26"/>
  <c r="AA74" i="27"/>
  <c r="AA57" i="27"/>
  <c r="AA67" i="27"/>
  <c r="AA71" i="27"/>
  <c r="AA66" i="27"/>
  <c r="AA75" i="28"/>
  <c r="AA66" i="28"/>
  <c r="W65" i="29"/>
  <c r="W69" i="29"/>
  <c r="W32" i="29"/>
  <c r="W61" i="29"/>
  <c r="AE65" i="29"/>
  <c r="W32" i="30"/>
  <c r="AA67" i="30"/>
  <c r="AA67" i="24"/>
  <c r="AA67" i="29"/>
  <c r="AE75" i="29"/>
  <c r="AA57" i="28"/>
  <c r="AA67" i="28"/>
  <c r="AA74" i="28"/>
  <c r="AE65" i="25"/>
  <c r="AA66" i="14"/>
  <c r="AA65" i="29"/>
  <c r="AA57" i="1"/>
  <c r="AA67" i="1"/>
  <c r="AE74" i="27"/>
  <c r="AA75" i="24"/>
  <c r="AA74" i="1"/>
  <c r="W73" i="1"/>
  <c r="AA74" i="24"/>
  <c r="AE75" i="28"/>
  <c r="AE74" i="29"/>
  <c r="AA73" i="27"/>
  <c r="AA57" i="26"/>
  <c r="W62" i="25"/>
  <c r="W65" i="25"/>
  <c r="AA75" i="25"/>
  <c r="AA75" i="29"/>
  <c r="AE73" i="1"/>
  <c r="W74" i="13"/>
  <c r="W74" i="27"/>
  <c r="W75" i="27"/>
  <c r="W75" i="28"/>
  <c r="AE73" i="27"/>
  <c r="AA67" i="26"/>
  <c r="AA71" i="26"/>
  <c r="AA75" i="13"/>
  <c r="AA73" i="13"/>
  <c r="AA66" i="13"/>
  <c r="AA70" i="13"/>
  <c r="AA57" i="13"/>
  <c r="AA65" i="13"/>
  <c r="W65" i="1"/>
  <c r="AE73" i="25"/>
  <c r="AE75" i="25"/>
  <c r="W65" i="13"/>
  <c r="AA74" i="13"/>
  <c r="AE75" i="13"/>
  <c r="AE74" i="13"/>
  <c r="W75" i="26"/>
  <c r="W73" i="26"/>
  <c r="W73" i="29"/>
  <c r="W75" i="29"/>
  <c r="AE73" i="30"/>
  <c r="AA32" i="13"/>
  <c r="AA34" i="13"/>
  <c r="E22" i="4"/>
  <c r="AA34" i="24"/>
  <c r="G22" i="4"/>
  <c r="W32" i="24"/>
  <c r="W32" i="26"/>
  <c r="AA32" i="30"/>
  <c r="AA34" i="30"/>
  <c r="M22" i="4"/>
  <c r="W34" i="30"/>
  <c r="M12" i="4"/>
  <c r="AA67" i="13"/>
  <c r="W34" i="24"/>
  <c r="G12" i="4"/>
  <c r="W34" i="14"/>
  <c r="F12" i="4"/>
  <c r="AA34" i="14"/>
  <c r="F22" i="4"/>
  <c r="W32" i="14"/>
  <c r="W34" i="27"/>
  <c r="J12" i="4"/>
  <c r="AA32" i="27"/>
  <c r="W32" i="27"/>
  <c r="AA34" i="27"/>
  <c r="J22" i="4"/>
  <c r="AA34" i="1"/>
  <c r="D22" i="4"/>
  <c r="W32" i="1"/>
  <c r="W34" i="1"/>
  <c r="D12" i="4"/>
  <c r="AA36" i="26"/>
  <c r="H23" i="4"/>
  <c r="AA37" i="28"/>
  <c r="K25" i="4"/>
  <c r="AA34" i="26"/>
  <c r="H22" i="4"/>
  <c r="W34" i="26"/>
  <c r="H12" i="4"/>
  <c r="W34" i="29"/>
  <c r="L12" i="4"/>
  <c r="AA34" i="29"/>
  <c r="L22" i="4"/>
  <c r="AA32" i="29"/>
  <c r="O12" i="4"/>
  <c r="H55" i="31"/>
  <c r="N12" i="4"/>
  <c r="O22" i="4"/>
  <c r="H56" i="31"/>
  <c r="N22" i="4"/>
  <c r="P22" i="4"/>
  <c r="G56" i="31"/>
  <c r="P12" i="4"/>
  <c r="G55" i="31"/>
  <c r="AE58" i="25"/>
  <c r="AE59" i="25"/>
  <c r="AA69" i="13"/>
  <c r="AA61" i="13"/>
  <c r="W62" i="28"/>
  <c r="W69" i="24"/>
  <c r="W61" i="24"/>
  <c r="W58" i="1"/>
  <c r="W59" i="1"/>
  <c r="AE62" i="25"/>
  <c r="AA71" i="13"/>
  <c r="AA63" i="13"/>
  <c r="W63" i="28"/>
  <c r="W63" i="26"/>
  <c r="W69" i="1"/>
  <c r="W61" i="1"/>
  <c r="AA36" i="14"/>
  <c r="F23" i="4"/>
  <c r="AF50" i="13"/>
  <c r="AA71" i="24"/>
  <c r="AA63" i="24"/>
  <c r="W63" i="29"/>
  <c r="AA71" i="30"/>
  <c r="AA63" i="30"/>
  <c r="AA70" i="28"/>
  <c r="AA62" i="28"/>
  <c r="AA70" i="27"/>
  <c r="AA62" i="27"/>
  <c r="AA70" i="26"/>
  <c r="AA62" i="26"/>
  <c r="AE69" i="28"/>
  <c r="AE61" i="28"/>
  <c r="AA70" i="25"/>
  <c r="AA62" i="25"/>
  <c r="AA69" i="14"/>
  <c r="AA61" i="14"/>
  <c r="AA61" i="1"/>
  <c r="AE69" i="24"/>
  <c r="AE61" i="24"/>
  <c r="AA63" i="26"/>
  <c r="W58" i="28"/>
  <c r="W59" i="28"/>
  <c r="W58" i="13"/>
  <c r="W59" i="13"/>
  <c r="AA37" i="27"/>
  <c r="AA37" i="1"/>
  <c r="D25" i="4"/>
  <c r="O25" i="4"/>
  <c r="H59" i="31"/>
  <c r="W58" i="25"/>
  <c r="W59" i="25"/>
  <c r="W58" i="30"/>
  <c r="W59" i="30"/>
  <c r="W58" i="24"/>
  <c r="W59" i="24"/>
  <c r="AA58" i="1"/>
  <c r="AA59" i="1"/>
  <c r="AA58" i="30"/>
  <c r="AA59" i="30"/>
  <c r="AA58" i="26"/>
  <c r="AA59" i="26"/>
  <c r="W69" i="13"/>
  <c r="W61" i="13"/>
  <c r="AA58" i="28"/>
  <c r="AA59" i="28"/>
  <c r="AE58" i="27"/>
  <c r="AE59" i="27"/>
  <c r="AE58" i="13"/>
  <c r="AE59" i="13"/>
  <c r="AE58" i="29"/>
  <c r="AE59" i="29"/>
  <c r="AE58" i="1"/>
  <c r="AE59" i="1"/>
  <c r="W62" i="1"/>
  <c r="AE61" i="1"/>
  <c r="AA71" i="28"/>
  <c r="AA63" i="28"/>
  <c r="AA70" i="30"/>
  <c r="AA62" i="30"/>
  <c r="B4" i="31"/>
  <c r="W63" i="14"/>
  <c r="AE69" i="13"/>
  <c r="AE61" i="13"/>
  <c r="AE63" i="26"/>
  <c r="AA63" i="27"/>
  <c r="AA71" i="1"/>
  <c r="AA63" i="1"/>
  <c r="AA62" i="13"/>
  <c r="AE62" i="1"/>
  <c r="AA58" i="13"/>
  <c r="AA59" i="13"/>
  <c r="AE58" i="30"/>
  <c r="AE59" i="30"/>
  <c r="AA71" i="29"/>
  <c r="AA63" i="29"/>
  <c r="AE69" i="26"/>
  <c r="AE61" i="26"/>
  <c r="AA38" i="1"/>
  <c r="W77" i="1"/>
  <c r="AE63" i="13"/>
  <c r="AF51" i="1"/>
  <c r="H25" i="4"/>
  <c r="H26" i="4"/>
  <c r="W63" i="25"/>
  <c r="W69" i="25"/>
  <c r="W61" i="25"/>
  <c r="AA69" i="29"/>
  <c r="AA61" i="29"/>
  <c r="AA70" i="14"/>
  <c r="AA62" i="14"/>
  <c r="W62" i="27"/>
  <c r="AE63" i="14"/>
  <c r="AE63" i="27"/>
  <c r="W62" i="13"/>
  <c r="E19" i="25"/>
  <c r="E19" i="28"/>
  <c r="E19" i="27"/>
  <c r="E19" i="29"/>
  <c r="E19" i="26"/>
  <c r="E19" i="30"/>
  <c r="E19" i="13"/>
  <c r="E19" i="24"/>
  <c r="AA36" i="28"/>
  <c r="K23" i="4"/>
  <c r="E19" i="1"/>
  <c r="AA62" i="29"/>
  <c r="AE58" i="26"/>
  <c r="AE59" i="26"/>
  <c r="O23" i="7"/>
  <c r="AA69" i="30"/>
  <c r="AA61" i="30"/>
  <c r="AA58" i="29"/>
  <c r="AA59" i="29"/>
  <c r="AA58" i="27"/>
  <c r="AA59" i="27"/>
  <c r="AE69" i="27"/>
  <c r="AE61" i="27"/>
  <c r="W69" i="30"/>
  <c r="W61" i="30"/>
  <c r="W58" i="27"/>
  <c r="W59" i="27"/>
  <c r="AA70" i="24"/>
  <c r="AA62" i="24"/>
  <c r="W69" i="28"/>
  <c r="W61" i="28"/>
  <c r="AE58" i="14"/>
  <c r="AE59" i="14"/>
  <c r="AA58" i="14"/>
  <c r="AA59" i="14"/>
  <c r="AE58" i="24"/>
  <c r="AE59" i="24"/>
  <c r="W58" i="29"/>
  <c r="W59" i="29"/>
  <c r="AE58" i="28"/>
  <c r="AE59" i="28"/>
  <c r="AA58" i="25"/>
  <c r="AA59" i="25"/>
  <c r="AA58" i="24"/>
  <c r="AA59" i="24"/>
  <c r="W58" i="14"/>
  <c r="W59" i="14"/>
  <c r="AE69" i="29"/>
  <c r="AE61" i="29"/>
  <c r="W58" i="26"/>
  <c r="W59" i="26"/>
  <c r="W69" i="26"/>
  <c r="W61" i="26"/>
  <c r="W69" i="27"/>
  <c r="W61" i="27"/>
  <c r="W69" i="14"/>
  <c r="W61" i="14"/>
  <c r="AA69" i="27"/>
  <c r="AA61" i="27"/>
  <c r="AE69" i="30"/>
  <c r="AE61" i="30"/>
  <c r="AE69" i="25"/>
  <c r="AE61" i="25"/>
  <c r="W62" i="14"/>
  <c r="AA36" i="13"/>
  <c r="E23" i="4"/>
  <c r="AA37" i="13"/>
  <c r="AE69" i="14"/>
  <c r="AE61" i="14"/>
  <c r="AA71" i="14"/>
  <c r="AA63" i="14"/>
  <c r="AA37" i="25"/>
  <c r="I25" i="4"/>
  <c r="AA36" i="30"/>
  <c r="M23" i="4"/>
  <c r="AA37" i="30"/>
  <c r="AA37" i="24"/>
  <c r="AA36" i="24"/>
  <c r="G23" i="4"/>
  <c r="D26" i="4"/>
  <c r="AE63" i="29"/>
  <c r="AF51" i="25"/>
  <c r="AF51" i="26"/>
  <c r="AE62" i="26"/>
  <c r="AF49" i="24"/>
  <c r="AE63" i="28"/>
  <c r="W36" i="14"/>
  <c r="F13" i="4"/>
  <c r="AF51" i="13"/>
  <c r="AE62" i="29"/>
  <c r="AE62" i="13"/>
  <c r="AE62" i="28"/>
  <c r="AE62" i="14"/>
  <c r="AA38" i="27"/>
  <c r="J25" i="4"/>
  <c r="AE62" i="30"/>
  <c r="W62" i="29"/>
  <c r="AF49" i="14"/>
  <c r="AE62" i="24"/>
  <c r="D41" i="4"/>
  <c r="O41" i="4"/>
  <c r="AE63" i="30"/>
  <c r="AE63" i="25"/>
  <c r="W78" i="26"/>
  <c r="H42" i="4"/>
  <c r="W63" i="1"/>
  <c r="AF47" i="28"/>
  <c r="AE62" i="27"/>
  <c r="G25" i="4"/>
  <c r="AA38" i="24"/>
  <c r="AA38" i="25"/>
  <c r="AF51" i="14"/>
  <c r="AF50" i="25"/>
  <c r="AF49" i="29"/>
  <c r="AF47" i="1"/>
  <c r="AF49" i="28"/>
  <c r="AF49" i="27"/>
  <c r="M25" i="4"/>
  <c r="AA38" i="30"/>
  <c r="W63" i="30"/>
  <c r="E25" i="4"/>
  <c r="AA38" i="13"/>
  <c r="O26" i="4"/>
  <c r="H61" i="31"/>
  <c r="AF47" i="25"/>
  <c r="AF49" i="13"/>
  <c r="AF47" i="14"/>
  <c r="AF51" i="28"/>
  <c r="AP34" i="14"/>
  <c r="F32" i="4"/>
  <c r="AP37" i="14"/>
  <c r="F35" i="4"/>
  <c r="W40" i="14"/>
  <c r="AF50" i="1"/>
  <c r="AF47" i="24"/>
  <c r="W37" i="14"/>
  <c r="AF47" i="13"/>
  <c r="AF46" i="14"/>
  <c r="AF47" i="29"/>
  <c r="AF50" i="27"/>
  <c r="AF50" i="28"/>
  <c r="W77" i="27"/>
  <c r="J41" i="4"/>
  <c r="AF47" i="27"/>
  <c r="O52" i="4"/>
  <c r="H11" i="31"/>
  <c r="AF50" i="29"/>
  <c r="AF49" i="25"/>
  <c r="AF49" i="30"/>
  <c r="AF47" i="30"/>
  <c r="O51" i="4"/>
  <c r="H10" i="31"/>
  <c r="AF50" i="14"/>
  <c r="C28" i="16"/>
  <c r="D10" i="31"/>
  <c r="M26" i="4"/>
  <c r="W78" i="30"/>
  <c r="M42" i="4"/>
  <c r="D6" i="31"/>
  <c r="O48" i="4"/>
  <c r="H4" i="31"/>
  <c r="I26" i="4"/>
  <c r="W77" i="25"/>
  <c r="I41" i="4"/>
  <c r="W78" i="25"/>
  <c r="I42" i="4"/>
  <c r="G26" i="4"/>
  <c r="AF45" i="14"/>
  <c r="AA39" i="13"/>
  <c r="E27" i="4"/>
  <c r="W77" i="13"/>
  <c r="E41" i="4"/>
  <c r="E26" i="4"/>
  <c r="W78" i="13"/>
  <c r="E42" i="4"/>
  <c r="AF51" i="30"/>
  <c r="F15" i="4"/>
  <c r="W38" i="14"/>
  <c r="AP38" i="14"/>
  <c r="F36" i="4"/>
  <c r="F18" i="4"/>
  <c r="AF44" i="14"/>
  <c r="F14" i="4"/>
  <c r="D4" i="31"/>
  <c r="AF48" i="14"/>
  <c r="F16" i="4"/>
  <c r="W39" i="14"/>
  <c r="F17" i="4"/>
  <c r="D9" i="31"/>
  <c r="D3" i="31"/>
  <c r="C23" i="16"/>
  <c r="D7" i="31"/>
  <c r="D8" i="31"/>
  <c r="C20" i="16"/>
  <c r="D2" i="31"/>
  <c r="G44" i="31"/>
  <c r="G61" i="16"/>
  <c r="J31" i="16"/>
  <c r="C31" i="16"/>
  <c r="D15" i="31"/>
  <c r="G59" i="16"/>
  <c r="H31" i="16"/>
  <c r="AP35" i="14"/>
  <c r="F31" i="4"/>
  <c r="AP36" i="14"/>
  <c r="AA35" i="13"/>
  <c r="E24" i="4"/>
  <c r="E22" i="13"/>
  <c r="J26" i="4"/>
  <c r="AF51" i="29"/>
  <c r="AE63" i="24"/>
  <c r="AA38" i="28"/>
  <c r="AF49" i="26"/>
  <c r="W62" i="26"/>
  <c r="W77" i="26"/>
  <c r="H41" i="4"/>
  <c r="W63" i="27"/>
  <c r="W78" i="27"/>
  <c r="J42" i="4"/>
  <c r="AA36" i="25"/>
  <c r="I23" i="4"/>
  <c r="AA36" i="29"/>
  <c r="L23" i="4"/>
  <c r="N23" i="4"/>
  <c r="AE63" i="1"/>
  <c r="W78" i="1"/>
  <c r="D42" i="4"/>
  <c r="AA40" i="14"/>
  <c r="F28" i="4"/>
  <c r="AA35" i="14"/>
  <c r="F24" i="4"/>
  <c r="E22" i="14"/>
  <c r="W63" i="24"/>
  <c r="W62" i="24"/>
  <c r="W77" i="24"/>
  <c r="G41" i="4"/>
  <c r="W62" i="30"/>
  <c r="W77" i="30"/>
  <c r="M41" i="4"/>
  <c r="AA39" i="26"/>
  <c r="H27" i="4"/>
  <c r="AA37" i="29"/>
  <c r="AF47" i="26"/>
  <c r="AA38" i="14"/>
  <c r="F25" i="4"/>
  <c r="AA40" i="13"/>
  <c r="E28" i="4"/>
  <c r="G65" i="31"/>
  <c r="P23" i="4"/>
  <c r="AA38" i="29"/>
  <c r="L25" i="4"/>
  <c r="N25" i="4"/>
  <c r="AA35" i="30"/>
  <c r="M24" i="4"/>
  <c r="AA40" i="30"/>
  <c r="M28" i="4"/>
  <c r="E22" i="30"/>
  <c r="AA39" i="30"/>
  <c r="M27" i="4"/>
  <c r="AA35" i="24"/>
  <c r="G24" i="4"/>
  <c r="AA40" i="24"/>
  <c r="G28" i="4"/>
  <c r="E22" i="24"/>
  <c r="AA39" i="24"/>
  <c r="G27" i="4"/>
  <c r="AA35" i="29"/>
  <c r="L24" i="4"/>
  <c r="E22" i="29"/>
  <c r="AA40" i="29"/>
  <c r="L28" i="4"/>
  <c r="E22" i="27"/>
  <c r="AA35" i="27"/>
  <c r="J24" i="4"/>
  <c r="AA40" i="27"/>
  <c r="J28" i="4"/>
  <c r="AF51" i="24"/>
  <c r="O42" i="4"/>
  <c r="W78" i="24"/>
  <c r="G42" i="4"/>
  <c r="W40" i="13"/>
  <c r="W37" i="13"/>
  <c r="W36" i="13"/>
  <c r="E13" i="4"/>
  <c r="AP39" i="14"/>
  <c r="F34" i="4"/>
  <c r="F33" i="4"/>
  <c r="AA39" i="27"/>
  <c r="J27" i="4"/>
  <c r="F26" i="4"/>
  <c r="W78" i="14"/>
  <c r="F42" i="4"/>
  <c r="AA39" i="14"/>
  <c r="F27" i="4"/>
  <c r="AP40" i="14"/>
  <c r="W77" i="14"/>
  <c r="F41" i="4"/>
  <c r="AA35" i="1"/>
  <c r="D24" i="4"/>
  <c r="AA40" i="1"/>
  <c r="D28" i="4"/>
  <c r="E22" i="1"/>
  <c r="AA35" i="28"/>
  <c r="K24" i="4"/>
  <c r="AA40" i="28"/>
  <c r="K28" i="4"/>
  <c r="E22" i="28"/>
  <c r="AA35" i="26"/>
  <c r="H24" i="4"/>
  <c r="E22" i="26"/>
  <c r="AA40" i="26"/>
  <c r="H28" i="4"/>
  <c r="AA35" i="25"/>
  <c r="I24" i="4"/>
  <c r="E22" i="25"/>
  <c r="AA39" i="25"/>
  <c r="I27" i="4"/>
  <c r="AF50" i="30"/>
  <c r="AF50" i="24"/>
  <c r="AA39" i="1"/>
  <c r="D27" i="4"/>
  <c r="AF49" i="1"/>
  <c r="AA40" i="25"/>
  <c r="I28" i="4"/>
  <c r="AF51" i="27"/>
  <c r="AF50" i="26"/>
  <c r="W77" i="28"/>
  <c r="K41" i="4"/>
  <c r="W78" i="28"/>
  <c r="K42" i="4"/>
  <c r="AA39" i="28"/>
  <c r="K27" i="4"/>
  <c r="K26" i="4"/>
  <c r="AP34" i="13"/>
  <c r="E32" i="4"/>
  <c r="AP35" i="13"/>
  <c r="E31" i="4"/>
  <c r="AP37" i="13"/>
  <c r="E35" i="4"/>
  <c r="AP36" i="13"/>
  <c r="P25" i="4"/>
  <c r="G59" i="31"/>
  <c r="AF45" i="13"/>
  <c r="AP39" i="13"/>
  <c r="E34" i="4"/>
  <c r="E33" i="4"/>
  <c r="AP35" i="25"/>
  <c r="I31" i="4"/>
  <c r="AP36" i="25"/>
  <c r="AP34" i="25"/>
  <c r="I32" i="4"/>
  <c r="AP37" i="25"/>
  <c r="I35" i="4"/>
  <c r="W37" i="25"/>
  <c r="W40" i="25"/>
  <c r="W36" i="25"/>
  <c r="I13" i="4"/>
  <c r="AP34" i="26"/>
  <c r="H32" i="4"/>
  <c r="AP35" i="26"/>
  <c r="H31" i="4"/>
  <c r="AP36" i="26"/>
  <c r="AP37" i="26"/>
  <c r="H35" i="4"/>
  <c r="W40" i="28"/>
  <c r="W36" i="28"/>
  <c r="K13" i="4"/>
  <c r="W37" i="28"/>
  <c r="N28" i="4"/>
  <c r="O28" i="4"/>
  <c r="H18" i="31"/>
  <c r="W36" i="1"/>
  <c r="D13" i="4"/>
  <c r="W40" i="1"/>
  <c r="W37" i="1"/>
  <c r="G4" i="31"/>
  <c r="P48" i="4"/>
  <c r="E18" i="4"/>
  <c r="AP38" i="13"/>
  <c r="E36" i="4"/>
  <c r="W37" i="27"/>
  <c r="W40" i="27"/>
  <c r="W36" i="27"/>
  <c r="J13" i="4"/>
  <c r="AP37" i="29"/>
  <c r="L35" i="4"/>
  <c r="AP36" i="29"/>
  <c r="AP34" i="29"/>
  <c r="L32" i="4"/>
  <c r="AP35" i="29"/>
  <c r="L31" i="4"/>
  <c r="AP34" i="30"/>
  <c r="M32" i="4"/>
  <c r="AP35" i="30"/>
  <c r="M31" i="4"/>
  <c r="AP37" i="30"/>
  <c r="M35" i="4"/>
  <c r="AP36" i="30"/>
  <c r="L26" i="4"/>
  <c r="N26" i="4"/>
  <c r="W78" i="29"/>
  <c r="L42" i="4"/>
  <c r="N42" i="4"/>
  <c r="P42" i="4"/>
  <c r="W77" i="29"/>
  <c r="L41" i="4"/>
  <c r="N41" i="4"/>
  <c r="P41" i="4"/>
  <c r="AA39" i="29"/>
  <c r="L27" i="4"/>
  <c r="O50" i="4"/>
  <c r="H5" i="31"/>
  <c r="N27" i="4"/>
  <c r="O27" i="4"/>
  <c r="H63" i="31"/>
  <c r="W36" i="26"/>
  <c r="H13" i="4"/>
  <c r="W37" i="26"/>
  <c r="W40" i="26"/>
  <c r="AP35" i="28"/>
  <c r="K31" i="4"/>
  <c r="AP34" i="28"/>
  <c r="K32" i="4"/>
  <c r="AP36" i="28"/>
  <c r="AP37" i="28"/>
  <c r="K35" i="4"/>
  <c r="N24" i="4"/>
  <c r="O24" i="4"/>
  <c r="H7" i="31"/>
  <c r="AP35" i="1"/>
  <c r="D31" i="4"/>
  <c r="AP34" i="1"/>
  <c r="D32" i="4"/>
  <c r="AP37" i="1"/>
  <c r="D35" i="4"/>
  <c r="AP36" i="1"/>
  <c r="AP41" i="14"/>
  <c r="F40" i="4"/>
  <c r="F39" i="4"/>
  <c r="W38" i="13"/>
  <c r="E15" i="4"/>
  <c r="E14" i="4"/>
  <c r="AP37" i="27"/>
  <c r="J35" i="4"/>
  <c r="AP34" i="27"/>
  <c r="J32" i="4"/>
  <c r="AP36" i="27"/>
  <c r="AP35" i="27"/>
  <c r="J31" i="4"/>
  <c r="W37" i="29"/>
  <c r="W36" i="29"/>
  <c r="L13" i="4"/>
  <c r="W40" i="29"/>
  <c r="W36" i="24"/>
  <c r="G13" i="4"/>
  <c r="W40" i="24"/>
  <c r="W37" i="24"/>
  <c r="AP36" i="24"/>
  <c r="AP37" i="24"/>
  <c r="G35" i="4"/>
  <c r="AP34" i="24"/>
  <c r="G32" i="4"/>
  <c r="AP35" i="24"/>
  <c r="G31" i="4"/>
  <c r="W37" i="30"/>
  <c r="W40" i="30"/>
  <c r="W36" i="30"/>
  <c r="M13" i="4"/>
  <c r="G61" i="31"/>
  <c r="P26" i="4"/>
  <c r="G15" i="4"/>
  <c r="W38" i="24"/>
  <c r="L14" i="4"/>
  <c r="AF45" i="27"/>
  <c r="AF44" i="13"/>
  <c r="AF48" i="13"/>
  <c r="W39" i="13"/>
  <c r="E17" i="4"/>
  <c r="E16" i="4"/>
  <c r="AP40" i="13"/>
  <c r="N35" i="4"/>
  <c r="O35" i="4"/>
  <c r="H19" i="31"/>
  <c r="N31" i="4"/>
  <c r="O31" i="4"/>
  <c r="H67" i="31"/>
  <c r="AP39" i="28"/>
  <c r="K34" i="4"/>
  <c r="K33" i="4"/>
  <c r="H14" i="4"/>
  <c r="G10" i="31"/>
  <c r="P51" i="4"/>
  <c r="P27" i="4"/>
  <c r="G63" i="31"/>
  <c r="P50" i="4"/>
  <c r="G5" i="31"/>
  <c r="J14" i="4"/>
  <c r="W38" i="27"/>
  <c r="J15" i="4"/>
  <c r="P52" i="4"/>
  <c r="G11" i="31"/>
  <c r="D14" i="4"/>
  <c r="O13" i="4"/>
  <c r="H66" i="31"/>
  <c r="N13" i="4"/>
  <c r="P28" i="4"/>
  <c r="G18" i="31"/>
  <c r="K15" i="4"/>
  <c r="W38" i="28"/>
  <c r="K18" i="4"/>
  <c r="AP38" i="28"/>
  <c r="K36" i="4"/>
  <c r="AP39" i="26"/>
  <c r="H34" i="4"/>
  <c r="H33" i="4"/>
  <c r="I14" i="4"/>
  <c r="I18" i="4"/>
  <c r="AP38" i="25"/>
  <c r="I36" i="4"/>
  <c r="W38" i="30"/>
  <c r="M15" i="4"/>
  <c r="G14" i="4"/>
  <c r="AP38" i="29"/>
  <c r="L36" i="4"/>
  <c r="L18" i="4"/>
  <c r="M14" i="4"/>
  <c r="AP38" i="30"/>
  <c r="M36" i="4"/>
  <c r="M18" i="4"/>
  <c r="AF45" i="24"/>
  <c r="AP39" i="24"/>
  <c r="G34" i="4"/>
  <c r="G33" i="4"/>
  <c r="G18" i="4"/>
  <c r="AP38" i="24"/>
  <c r="G36" i="4"/>
  <c r="L15" i="4"/>
  <c r="W38" i="29"/>
  <c r="J33" i="4"/>
  <c r="AP39" i="27"/>
  <c r="J34" i="4"/>
  <c r="AF46" i="13"/>
  <c r="D33" i="4"/>
  <c r="AP39" i="1"/>
  <c r="D34" i="4"/>
  <c r="O32" i="4"/>
  <c r="H57" i="31"/>
  <c r="N32" i="4"/>
  <c r="AF45" i="1"/>
  <c r="G7" i="31"/>
  <c r="P24" i="4"/>
  <c r="AF45" i="28"/>
  <c r="AP38" i="26"/>
  <c r="H36" i="4"/>
  <c r="H18" i="4"/>
  <c r="H15" i="4"/>
  <c r="W38" i="26"/>
  <c r="M33" i="4"/>
  <c r="AP39" i="30"/>
  <c r="M34" i="4"/>
  <c r="AF45" i="30"/>
  <c r="AF45" i="29"/>
  <c r="AP39" i="29"/>
  <c r="L34" i="4"/>
  <c r="L33" i="4"/>
  <c r="AP38" i="27"/>
  <c r="J36" i="4"/>
  <c r="J18" i="4"/>
  <c r="D15" i="4"/>
  <c r="W38" i="1"/>
  <c r="AP38" i="1"/>
  <c r="D36" i="4"/>
  <c r="D18" i="4"/>
  <c r="K14" i="4"/>
  <c r="AF45" i="26"/>
  <c r="W38" i="25"/>
  <c r="I15" i="4"/>
  <c r="AF45" i="25"/>
  <c r="AP39" i="25"/>
  <c r="I34" i="4"/>
  <c r="I33" i="4"/>
  <c r="AP40" i="25"/>
  <c r="W39" i="25"/>
  <c r="I17" i="4"/>
  <c r="I16" i="4"/>
  <c r="AF44" i="28"/>
  <c r="O36" i="4"/>
  <c r="H64" i="31"/>
  <c r="N36" i="4"/>
  <c r="N15" i="4"/>
  <c r="O15" i="4"/>
  <c r="H58" i="31"/>
  <c r="O46" i="4"/>
  <c r="H9" i="31"/>
  <c r="N33" i="4"/>
  <c r="O33" i="4"/>
  <c r="H68" i="31"/>
  <c r="AF44" i="30"/>
  <c r="AF44" i="24"/>
  <c r="W39" i="30"/>
  <c r="M17" i="4"/>
  <c r="M16" i="4"/>
  <c r="AP40" i="30"/>
  <c r="AF46" i="25"/>
  <c r="AF46" i="1"/>
  <c r="AF44" i="1"/>
  <c r="AP40" i="27"/>
  <c r="W39" i="27"/>
  <c r="J17" i="4"/>
  <c r="J16" i="4"/>
  <c r="AF46" i="27"/>
  <c r="AF46" i="26"/>
  <c r="AF48" i="26"/>
  <c r="G67" i="31"/>
  <c r="P31" i="4"/>
  <c r="P35" i="4"/>
  <c r="G19" i="31"/>
  <c r="AF44" i="29"/>
  <c r="W39" i="24"/>
  <c r="G17" i="4"/>
  <c r="G16" i="4"/>
  <c r="AP40" i="24"/>
  <c r="AF48" i="28"/>
  <c r="AF46" i="28"/>
  <c r="N18" i="4"/>
  <c r="O18" i="4"/>
  <c r="H17" i="31"/>
  <c r="W39" i="1"/>
  <c r="D17" i="4"/>
  <c r="D16" i="4"/>
  <c r="AP40" i="1"/>
  <c r="W39" i="26"/>
  <c r="H17" i="4"/>
  <c r="AP40" i="26"/>
  <c r="H16" i="4"/>
  <c r="G57" i="31"/>
  <c r="P32" i="4"/>
  <c r="N34" i="4"/>
  <c r="O34" i="4"/>
  <c r="H69" i="31"/>
  <c r="W39" i="29"/>
  <c r="L17" i="4"/>
  <c r="L16" i="4"/>
  <c r="AP40" i="29"/>
  <c r="AF48" i="30"/>
  <c r="AF46" i="30"/>
  <c r="AF48" i="24"/>
  <c r="AF46" i="24"/>
  <c r="AF48" i="25"/>
  <c r="AF44" i="25"/>
  <c r="W39" i="28"/>
  <c r="K17" i="4"/>
  <c r="K16" i="4"/>
  <c r="AP40" i="28"/>
  <c r="G66" i="31"/>
  <c r="P13" i="4"/>
  <c r="O14" i="4"/>
  <c r="H6" i="31"/>
  <c r="N14" i="4"/>
  <c r="AF48" i="1"/>
  <c r="AF48" i="27"/>
  <c r="AF44" i="27"/>
  <c r="AF44" i="26"/>
  <c r="E39" i="4"/>
  <c r="AP41" i="13"/>
  <c r="E40" i="4"/>
  <c r="AF46" i="29"/>
  <c r="AF48" i="29"/>
  <c r="O49" i="4"/>
  <c r="H3" i="31"/>
  <c r="L39" i="4"/>
  <c r="AP41" i="29"/>
  <c r="L40" i="4"/>
  <c r="G69" i="31"/>
  <c r="P34" i="4"/>
  <c r="AP41" i="26"/>
  <c r="H40" i="4"/>
  <c r="H39" i="4"/>
  <c r="AP41" i="1"/>
  <c r="D40" i="4"/>
  <c r="D39" i="4"/>
  <c r="N17" i="4"/>
  <c r="O17" i="4"/>
  <c r="H62" i="31"/>
  <c r="G17" i="31"/>
  <c r="P18" i="4"/>
  <c r="AP41" i="27"/>
  <c r="J40" i="4"/>
  <c r="J39" i="4"/>
  <c r="P15" i="4"/>
  <c r="G58" i="31"/>
  <c r="P14" i="4"/>
  <c r="G6" i="31"/>
  <c r="AP41" i="28"/>
  <c r="K40" i="4"/>
  <c r="K39" i="4"/>
  <c r="O16" i="4"/>
  <c r="H60" i="31"/>
  <c r="N16" i="4"/>
  <c r="AP41" i="24"/>
  <c r="G40" i="4"/>
  <c r="G39" i="4"/>
  <c r="O45" i="4"/>
  <c r="H8" i="31"/>
  <c r="O47" i="4"/>
  <c r="H2" i="31"/>
  <c r="AP41" i="30"/>
  <c r="M40" i="4"/>
  <c r="M39" i="4"/>
  <c r="P33" i="4"/>
  <c r="G68" i="31"/>
  <c r="G9" i="31"/>
  <c r="P46" i="4"/>
  <c r="G64" i="31"/>
  <c r="P36" i="4"/>
  <c r="AP41" i="25"/>
  <c r="I40" i="4"/>
  <c r="I39" i="4"/>
  <c r="P47" i="4"/>
  <c r="G2" i="31"/>
  <c r="G8" i="31"/>
  <c r="P45" i="4"/>
  <c r="P17" i="4"/>
  <c r="G62" i="31"/>
  <c r="N40" i="4"/>
  <c r="P40" i="4"/>
  <c r="O40" i="4"/>
  <c r="P49" i="4"/>
  <c r="G3" i="31"/>
  <c r="G60" i="31"/>
  <c r="P16" i="4"/>
  <c r="N39" i="4"/>
  <c r="P39" i="4"/>
  <c r="O3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L7" authorId="0" shapeId="0" xr:uid="{00000000-0006-0000-0200-000001000000}">
      <text>
        <r>
          <rPr>
            <sz val="8"/>
            <color indexed="8"/>
            <rFont val="Times New Roman"/>
            <family val="1"/>
          </rPr>
          <t xml:space="preserve">if wood cannot be easily removed,weighed and replaced in stove,  use [original wt. of wood bundle(before boiling) minus the wt.of wood consumed during Hot Start (AA22)] for this 
value
</t>
        </r>
      </text>
    </comment>
    <comment ref="AI17" authorId="0" shapeId="0" xr:uid="{00000000-0006-0000-0200-000002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 ref="AA29" authorId="0" shapeId="0" xr:uid="{00000000-0006-0000-0200-000003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L7" authorId="0" shapeId="0" xr:uid="{00000000-0006-0000-0300-000001000000}">
      <text>
        <r>
          <rPr>
            <sz val="8"/>
            <color indexed="8"/>
            <rFont val="Times New Roman"/>
            <family val="1"/>
          </rPr>
          <t xml:space="preserve">if wood cannot be easily removed,weighed and replaced in stove,  use [original wt. of wood bundle(before boiling) minus the wt.of wood consumed during Hot Start (AA22)] for this 
value
</t>
        </r>
      </text>
    </comment>
    <comment ref="AI17" authorId="0" shapeId="0" xr:uid="{00000000-0006-0000-0300-000002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 ref="AA29" authorId="0" shapeId="0" xr:uid="{00000000-0006-0000-0300-000003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L7" authorId="0" shapeId="0" xr:uid="{00000000-0006-0000-0400-000001000000}">
      <text>
        <r>
          <rPr>
            <sz val="8"/>
            <color indexed="8"/>
            <rFont val="Times New Roman"/>
            <family val="1"/>
          </rPr>
          <t xml:space="preserve">if wood cannot be easily removed,weighed and replaced in stove,  use [original wt. of wood bundle(before boiling) minus the wt.of wood consumed during Hot Start (AA22)] for this 
value
</t>
        </r>
      </text>
    </comment>
    <comment ref="AI17" authorId="0" shapeId="0" xr:uid="{00000000-0006-0000-0400-000002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 ref="AA29" authorId="0" shapeId="0" xr:uid="{00000000-0006-0000-0400-000003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L7" authorId="0" shapeId="0" xr:uid="{00000000-0006-0000-0500-000001000000}">
      <text>
        <r>
          <rPr>
            <sz val="8"/>
            <color indexed="8"/>
            <rFont val="Times New Roman"/>
            <family val="1"/>
          </rPr>
          <t xml:space="preserve">if wood cannot be easily removed,weighed and replaced in stove,  use [original wt. of wood bundle(before boiling) minus the wt.of wood consumed during Hot Start (AA22)] for this 
value
</t>
        </r>
      </text>
    </comment>
    <comment ref="AI17" authorId="0" shapeId="0" xr:uid="{00000000-0006-0000-0500-000002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 ref="AA29" authorId="0" shapeId="0" xr:uid="{00000000-0006-0000-0500-000003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L7" authorId="0" shapeId="0" xr:uid="{00000000-0006-0000-0600-000001000000}">
      <text>
        <r>
          <rPr>
            <sz val="8"/>
            <color indexed="8"/>
            <rFont val="Times New Roman"/>
            <family val="1"/>
          </rPr>
          <t xml:space="preserve">if wood cannot be easily removed,weighed and replaced in stove,  use [original wt. of wood bundle(before boiling) minus the wt.of wood consumed during Hot Start (AA22)] for this 
value
</t>
        </r>
      </text>
    </comment>
    <comment ref="AI17" authorId="0" shapeId="0" xr:uid="{00000000-0006-0000-0600-000002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 ref="AA29" authorId="0" shapeId="0" xr:uid="{00000000-0006-0000-0600-000003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L7" authorId="0" shapeId="0" xr:uid="{00000000-0006-0000-0700-000001000000}">
      <text>
        <r>
          <rPr>
            <sz val="8"/>
            <color indexed="8"/>
            <rFont val="Times New Roman"/>
            <family val="1"/>
          </rPr>
          <t xml:space="preserve">if wood cannot be easily removed,weighed and replaced in stove,  use [original wt. of wood bundle(before boiling) minus the wt.of wood consumed during Hot Start (AA22)] for this 
value
</t>
        </r>
      </text>
    </comment>
    <comment ref="AI17" authorId="0" shapeId="0" xr:uid="{00000000-0006-0000-0700-000002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 ref="AA29" authorId="0" shapeId="0" xr:uid="{00000000-0006-0000-0700-000003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L7" authorId="0" shapeId="0" xr:uid="{00000000-0006-0000-0800-000001000000}">
      <text>
        <r>
          <rPr>
            <sz val="8"/>
            <color indexed="8"/>
            <rFont val="Times New Roman"/>
            <family val="1"/>
          </rPr>
          <t xml:space="preserve">if wood cannot be easily removed,weighed and replaced in stove,  use [original wt. of wood bundle(before boiling) minus the wt.of wood consumed during Hot Start (AA22)] for this 
value
</t>
        </r>
      </text>
    </comment>
    <comment ref="AI17" authorId="0" shapeId="0" xr:uid="{00000000-0006-0000-0800-000002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 ref="AA29" authorId="0" shapeId="0" xr:uid="{00000000-0006-0000-0800-000003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L7" authorId="0" shapeId="0" xr:uid="{00000000-0006-0000-0900-000001000000}">
      <text>
        <r>
          <rPr>
            <sz val="8"/>
            <color indexed="8"/>
            <rFont val="Times New Roman"/>
            <family val="1"/>
          </rPr>
          <t xml:space="preserve">if wood cannot be easily removed,weighed and replaced in stove,  use [original wt. of wood bundle(before boiling) minus the wt.of wood consumed during Hot Start (AA22)] for this 
value
</t>
        </r>
      </text>
    </comment>
    <comment ref="AI17" authorId="0" shapeId="0" xr:uid="{00000000-0006-0000-0900-000002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 ref="AA29" authorId="0" shapeId="0" xr:uid="{00000000-0006-0000-0900-000003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L7" authorId="0" shapeId="0" xr:uid="{00000000-0006-0000-0A00-000001000000}">
      <text>
        <r>
          <rPr>
            <sz val="8"/>
            <color indexed="8"/>
            <rFont val="Times New Roman"/>
            <family val="1"/>
          </rPr>
          <t xml:space="preserve">if wood cannot be easily removed,weighed and replaced in stove,  use [original wt. of wood bundle(before boiling) minus the wt.of wood consumed during Hot Start (AA22)] for this 
value
</t>
        </r>
      </text>
    </comment>
    <comment ref="AI17" authorId="0" shapeId="0" xr:uid="{00000000-0006-0000-0A00-000002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 ref="AA29" authorId="0" shapeId="0" xr:uid="{00000000-0006-0000-0A00-000003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L7" authorId="0" shapeId="0" xr:uid="{00000000-0006-0000-0B00-000001000000}">
      <text>
        <r>
          <rPr>
            <sz val="8"/>
            <color indexed="8"/>
            <rFont val="Times New Roman"/>
            <family val="1"/>
          </rPr>
          <t xml:space="preserve">if wood cannot be easily removed,weighed and replaced in stove,  use [original wt. of wood bundle(before boiling) minus the wt.of wood consumed during Hot Start (AA22)] for this 
value
</t>
        </r>
      </text>
    </comment>
    <comment ref="AI17" authorId="0" shapeId="0" xr:uid="{00000000-0006-0000-0B00-000002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 ref="AA29" authorId="0" shapeId="0" xr:uid="{00000000-0006-0000-0B00-000003000000}">
      <text>
        <r>
          <rPr>
            <b/>
            <sz val="8"/>
            <color indexed="8"/>
            <rFont val="Times New Roman"/>
            <family val="1"/>
          </rPr>
          <t xml:space="preserve">Rob Bailis:
</t>
        </r>
        <r>
          <rPr>
            <sz val="8"/>
            <color indexed="8"/>
            <rFont val="Times New Roman"/>
            <family val="1"/>
          </rPr>
          <t>Assuming that the quantity of char produced is the same as in the Cold Start Test.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O10" authorId="0" shapeId="0" xr:uid="{00000000-0006-0000-0C00-000001000000}">
      <text>
        <r>
          <rPr>
            <sz val="8"/>
            <color indexed="8"/>
            <rFont val="Times New Roman"/>
            <family val="1"/>
          </rPr>
          <t>Standard deviation is only calculated if all three tests are completed.</t>
        </r>
      </text>
    </comment>
    <comment ref="O20" authorId="0" shapeId="0" xr:uid="{00000000-0006-0000-0C00-000002000000}">
      <text>
        <r>
          <rPr>
            <sz val="8"/>
            <color indexed="8"/>
            <rFont val="Times New Roman"/>
            <family val="1"/>
          </rPr>
          <t>Standard deviation is only calculated if all three tests are completed.</t>
        </r>
      </text>
    </comment>
    <comment ref="O30" authorId="0" shapeId="0" xr:uid="{00000000-0006-0000-0C00-000003000000}">
      <text>
        <r>
          <rPr>
            <sz val="8"/>
            <color indexed="8"/>
            <rFont val="Times New Roman"/>
            <family val="1"/>
          </rPr>
          <t>Standard deviation is only calculated if all three tests are completed.</t>
        </r>
      </text>
    </comment>
    <comment ref="O38" authorId="0" shapeId="0" xr:uid="{00000000-0006-0000-0C00-000004000000}">
      <text>
        <r>
          <rPr>
            <sz val="8"/>
            <color indexed="8"/>
            <rFont val="Times New Roman"/>
            <family val="1"/>
          </rPr>
          <t>Standard deviation is only calculated if all three tests are completed.</t>
        </r>
      </text>
    </comment>
    <comment ref="O44" authorId="0" shapeId="0" xr:uid="{00000000-0006-0000-0C00-000005000000}">
      <text>
        <r>
          <rPr>
            <sz val="8"/>
            <color indexed="8"/>
            <rFont val="Times New Roman"/>
            <family val="1"/>
          </rPr>
          <t>Standard deviation is only calculated if all three tests are completed.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Tami Bond</author>
  </authors>
  <commentList>
    <comment ref="L1" authorId="0" shapeId="0" xr:uid="{00000000-0006-0000-1000-000001000000}">
      <text>
        <r>
          <rPr>
            <b/>
            <sz val="8"/>
            <color indexed="81"/>
            <rFont val="Tahoma"/>
            <family val="2"/>
          </rPr>
          <t>Tami Bond:</t>
        </r>
        <r>
          <rPr>
            <sz val="8"/>
            <color indexed="81"/>
            <rFont val="Tahoma"/>
            <family val="2"/>
          </rPr>
          <t xml:space="preserve">
No specific char values are presently included. However, they may be altered as more char data become available.</t>
        </r>
      </text>
    </comment>
  </commentList>
</comments>
</file>

<file path=xl/sharedStrings.xml><?xml version="1.0" encoding="utf-8"?>
<sst xmlns="http://schemas.openxmlformats.org/spreadsheetml/2006/main" count="5972" uniqueCount="1157">
  <si>
    <t>COLD START HIGH POWER</t>
  </si>
  <si>
    <t>HOT START HIGH POWER (OPTIONAL)</t>
  </si>
  <si>
    <t>SIMMER TEST</t>
  </si>
  <si>
    <t>Start</t>
  </si>
  <si>
    <t>Finish: when</t>
  </si>
  <si>
    <t xml:space="preserve">Finish: 45 min </t>
  </si>
  <si>
    <t>Pot #1 boils</t>
  </si>
  <si>
    <t>Qualitative data</t>
  </si>
  <si>
    <t>Measurements</t>
  </si>
  <si>
    <t>Units</t>
  </si>
  <si>
    <t>data</t>
  </si>
  <si>
    <t>label</t>
  </si>
  <si>
    <t>Name(s) of Tester(s)</t>
  </si>
  <si>
    <t>hr:min</t>
  </si>
  <si>
    <r>
      <t>t</t>
    </r>
    <r>
      <rPr>
        <vertAlign val="subscript"/>
        <sz val="9"/>
        <rFont val="Arial"/>
        <family val="2"/>
      </rPr>
      <t>ci</t>
    </r>
  </si>
  <si>
    <r>
      <t>t</t>
    </r>
    <r>
      <rPr>
        <vertAlign val="subscript"/>
        <sz val="9"/>
        <rFont val="Arial"/>
        <family val="2"/>
      </rPr>
      <t>cf</t>
    </r>
  </si>
  <si>
    <r>
      <t>t</t>
    </r>
    <r>
      <rPr>
        <vertAlign val="subscript"/>
        <sz val="9"/>
        <rFont val="Arial"/>
        <family val="2"/>
      </rPr>
      <t>hi</t>
    </r>
  </si>
  <si>
    <r>
      <t>t</t>
    </r>
    <r>
      <rPr>
        <vertAlign val="subscript"/>
        <sz val="9"/>
        <rFont val="Arial"/>
        <family val="2"/>
      </rPr>
      <t>hf</t>
    </r>
  </si>
  <si>
    <r>
      <t>t</t>
    </r>
    <r>
      <rPr>
        <vertAlign val="subscript"/>
        <sz val="9"/>
        <rFont val="Arial"/>
        <family val="2"/>
      </rPr>
      <t>si</t>
    </r>
  </si>
  <si>
    <r>
      <t>t</t>
    </r>
    <r>
      <rPr>
        <vertAlign val="subscript"/>
        <sz val="9"/>
        <rFont val="Arial"/>
        <family val="2"/>
      </rPr>
      <t>sf</t>
    </r>
  </si>
  <si>
    <t>g</t>
  </si>
  <si>
    <r>
      <t>f</t>
    </r>
    <r>
      <rPr>
        <vertAlign val="subscript"/>
        <sz val="9"/>
        <rFont val="Arial"/>
        <family val="2"/>
      </rPr>
      <t>ci</t>
    </r>
  </si>
  <si>
    <r>
      <t>f</t>
    </r>
    <r>
      <rPr>
        <vertAlign val="subscript"/>
        <sz val="9"/>
        <rFont val="Arial"/>
        <family val="2"/>
      </rPr>
      <t>cf</t>
    </r>
  </si>
  <si>
    <r>
      <t>f</t>
    </r>
    <r>
      <rPr>
        <vertAlign val="subscript"/>
        <sz val="9"/>
        <rFont val="Arial"/>
        <family val="2"/>
      </rPr>
      <t>hi</t>
    </r>
  </si>
  <si>
    <r>
      <t>f</t>
    </r>
    <r>
      <rPr>
        <vertAlign val="subscript"/>
        <sz val="9"/>
        <rFont val="Arial"/>
        <family val="2"/>
      </rPr>
      <t>hf</t>
    </r>
  </si>
  <si>
    <r>
      <t>f</t>
    </r>
    <r>
      <rPr>
        <vertAlign val="subscript"/>
        <sz val="9"/>
        <rFont val="Arial"/>
        <family val="2"/>
      </rPr>
      <t>si</t>
    </r>
  </si>
  <si>
    <r>
      <t>f</t>
    </r>
    <r>
      <rPr>
        <vertAlign val="subscript"/>
        <sz val="9"/>
        <rFont val="Arial"/>
        <family val="2"/>
      </rPr>
      <t>sf</t>
    </r>
  </si>
  <si>
    <t>Test Number</t>
  </si>
  <si>
    <t>Water temperature, Pot # 1</t>
  </si>
  <si>
    <t>ºC</t>
  </si>
  <si>
    <r>
      <t>T1</t>
    </r>
    <r>
      <rPr>
        <vertAlign val="subscript"/>
        <sz val="9"/>
        <rFont val="Arial"/>
        <family val="2"/>
      </rPr>
      <t>ci</t>
    </r>
  </si>
  <si>
    <r>
      <t>T1</t>
    </r>
    <r>
      <rPr>
        <vertAlign val="subscript"/>
        <sz val="9"/>
        <rFont val="Arial"/>
        <family val="2"/>
      </rPr>
      <t>cf</t>
    </r>
  </si>
  <si>
    <r>
      <t>T1</t>
    </r>
    <r>
      <rPr>
        <vertAlign val="subscript"/>
        <sz val="9"/>
        <rFont val="Arial"/>
        <family val="2"/>
      </rPr>
      <t>hi</t>
    </r>
  </si>
  <si>
    <r>
      <t>T1</t>
    </r>
    <r>
      <rPr>
        <vertAlign val="subscript"/>
        <sz val="9"/>
        <rFont val="Arial"/>
        <family val="2"/>
      </rPr>
      <t>hf</t>
    </r>
  </si>
  <si>
    <r>
      <t>T1</t>
    </r>
    <r>
      <rPr>
        <vertAlign val="subscript"/>
        <sz val="9"/>
        <rFont val="Arial"/>
        <family val="2"/>
      </rPr>
      <t>si</t>
    </r>
  </si>
  <si>
    <r>
      <t>T1</t>
    </r>
    <r>
      <rPr>
        <vertAlign val="subscript"/>
        <sz val="9"/>
        <rFont val="Arial"/>
        <family val="2"/>
      </rPr>
      <t>sf</t>
    </r>
  </si>
  <si>
    <t>Date</t>
  </si>
  <si>
    <t>Water temperature, Pot # 2</t>
  </si>
  <si>
    <r>
      <t>T2</t>
    </r>
    <r>
      <rPr>
        <vertAlign val="subscript"/>
        <sz val="9"/>
        <rFont val="Arial"/>
        <family val="2"/>
      </rPr>
      <t>cf</t>
    </r>
  </si>
  <si>
    <r>
      <t>T2</t>
    </r>
    <r>
      <rPr>
        <vertAlign val="subscript"/>
        <sz val="9"/>
        <rFont val="Arial"/>
        <family val="2"/>
      </rPr>
      <t>hi</t>
    </r>
  </si>
  <si>
    <r>
      <t>T2</t>
    </r>
    <r>
      <rPr>
        <vertAlign val="subscript"/>
        <sz val="9"/>
        <rFont val="Arial"/>
        <family val="2"/>
      </rPr>
      <t>hf</t>
    </r>
  </si>
  <si>
    <r>
      <t>T2</t>
    </r>
    <r>
      <rPr>
        <vertAlign val="subscript"/>
        <sz val="9"/>
        <rFont val="Arial"/>
        <family val="2"/>
      </rPr>
      <t>si</t>
    </r>
  </si>
  <si>
    <r>
      <t>T2</t>
    </r>
    <r>
      <rPr>
        <vertAlign val="subscript"/>
        <sz val="9"/>
        <rFont val="Arial"/>
        <family val="2"/>
      </rPr>
      <t>sf</t>
    </r>
  </si>
  <si>
    <t>Stove type/model</t>
  </si>
  <si>
    <t>Water temperature, Pot # 3</t>
  </si>
  <si>
    <r>
      <t>T3</t>
    </r>
    <r>
      <rPr>
        <vertAlign val="subscript"/>
        <sz val="9"/>
        <rFont val="Arial"/>
        <family val="2"/>
      </rPr>
      <t>cf</t>
    </r>
  </si>
  <si>
    <r>
      <t>T3</t>
    </r>
    <r>
      <rPr>
        <vertAlign val="subscript"/>
        <sz val="9"/>
        <rFont val="Arial"/>
        <family val="2"/>
      </rPr>
      <t>hi</t>
    </r>
  </si>
  <si>
    <r>
      <t>T3</t>
    </r>
    <r>
      <rPr>
        <vertAlign val="subscript"/>
        <sz val="9"/>
        <rFont val="Arial"/>
        <family val="2"/>
      </rPr>
      <t>hf</t>
    </r>
  </si>
  <si>
    <r>
      <t>T3</t>
    </r>
    <r>
      <rPr>
        <vertAlign val="subscript"/>
        <sz val="9"/>
        <rFont val="Arial"/>
        <family val="2"/>
      </rPr>
      <t>si</t>
    </r>
  </si>
  <si>
    <r>
      <t>T3</t>
    </r>
    <r>
      <rPr>
        <vertAlign val="subscript"/>
        <sz val="9"/>
        <rFont val="Arial"/>
        <family val="2"/>
      </rPr>
      <t>sf</t>
    </r>
  </si>
  <si>
    <t>Location</t>
  </si>
  <si>
    <t>Water temperature, Pot # 4</t>
  </si>
  <si>
    <r>
      <t>T4</t>
    </r>
    <r>
      <rPr>
        <vertAlign val="subscript"/>
        <sz val="9"/>
        <rFont val="Arial"/>
        <family val="2"/>
      </rPr>
      <t>ci</t>
    </r>
  </si>
  <si>
    <r>
      <t>T4</t>
    </r>
    <r>
      <rPr>
        <vertAlign val="subscript"/>
        <sz val="9"/>
        <rFont val="Arial"/>
        <family val="2"/>
      </rPr>
      <t>cf</t>
    </r>
  </si>
  <si>
    <r>
      <t>T4</t>
    </r>
    <r>
      <rPr>
        <vertAlign val="subscript"/>
        <sz val="9"/>
        <rFont val="Arial"/>
        <family val="2"/>
      </rPr>
      <t>hi</t>
    </r>
  </si>
  <si>
    <r>
      <t>T4</t>
    </r>
    <r>
      <rPr>
        <vertAlign val="subscript"/>
        <sz val="9"/>
        <rFont val="Arial"/>
        <family val="2"/>
      </rPr>
      <t>hf</t>
    </r>
  </si>
  <si>
    <r>
      <t>T4</t>
    </r>
    <r>
      <rPr>
        <vertAlign val="subscript"/>
        <sz val="9"/>
        <rFont val="Arial"/>
        <family val="2"/>
      </rPr>
      <t>si</t>
    </r>
  </si>
  <si>
    <r>
      <t>T4</t>
    </r>
    <r>
      <rPr>
        <vertAlign val="subscript"/>
        <sz val="9"/>
        <rFont val="Arial"/>
        <family val="2"/>
      </rPr>
      <t>sf</t>
    </r>
  </si>
  <si>
    <t>Type of fuel</t>
  </si>
  <si>
    <t>Weight of Pot # 1 with water</t>
  </si>
  <si>
    <r>
      <t>P1</t>
    </r>
    <r>
      <rPr>
        <vertAlign val="subscript"/>
        <sz val="9"/>
        <rFont val="Arial"/>
        <family val="2"/>
      </rPr>
      <t>ci</t>
    </r>
  </si>
  <si>
    <r>
      <t>P1</t>
    </r>
    <r>
      <rPr>
        <vertAlign val="subscript"/>
        <sz val="9"/>
        <rFont val="Arial"/>
        <family val="2"/>
      </rPr>
      <t>cf</t>
    </r>
  </si>
  <si>
    <r>
      <t>P1</t>
    </r>
    <r>
      <rPr>
        <vertAlign val="subscript"/>
        <sz val="9"/>
        <rFont val="Arial"/>
        <family val="2"/>
      </rPr>
      <t>hi</t>
    </r>
  </si>
  <si>
    <r>
      <t>P1</t>
    </r>
    <r>
      <rPr>
        <vertAlign val="subscript"/>
        <sz val="9"/>
        <rFont val="Arial"/>
        <family val="2"/>
      </rPr>
      <t>hf</t>
    </r>
  </si>
  <si>
    <r>
      <t>P1</t>
    </r>
    <r>
      <rPr>
        <vertAlign val="subscript"/>
        <sz val="9"/>
        <rFont val="Arial"/>
        <family val="2"/>
      </rPr>
      <t>si</t>
    </r>
  </si>
  <si>
    <r>
      <t>P1</t>
    </r>
    <r>
      <rPr>
        <vertAlign val="subscript"/>
        <sz val="9"/>
        <rFont val="Arial"/>
        <family val="2"/>
      </rPr>
      <t>sf</t>
    </r>
  </si>
  <si>
    <t>Weight of Pot # 2 with water</t>
  </si>
  <si>
    <r>
      <t>P2</t>
    </r>
    <r>
      <rPr>
        <vertAlign val="subscript"/>
        <sz val="9"/>
        <rFont val="Arial"/>
        <family val="2"/>
      </rPr>
      <t>ci</t>
    </r>
  </si>
  <si>
    <r>
      <t>P2</t>
    </r>
    <r>
      <rPr>
        <vertAlign val="subscript"/>
        <sz val="9"/>
        <rFont val="Arial"/>
        <family val="2"/>
      </rPr>
      <t>cf</t>
    </r>
  </si>
  <si>
    <r>
      <t>P2</t>
    </r>
    <r>
      <rPr>
        <vertAlign val="subscript"/>
        <sz val="9"/>
        <rFont val="Arial"/>
        <family val="2"/>
      </rPr>
      <t>hi</t>
    </r>
  </si>
  <si>
    <r>
      <t>P2</t>
    </r>
    <r>
      <rPr>
        <vertAlign val="subscript"/>
        <sz val="9"/>
        <rFont val="Arial"/>
        <family val="2"/>
      </rPr>
      <t>hf</t>
    </r>
  </si>
  <si>
    <r>
      <t>P2</t>
    </r>
    <r>
      <rPr>
        <vertAlign val="subscript"/>
        <sz val="9"/>
        <rFont val="Arial"/>
        <family val="2"/>
      </rPr>
      <t>si</t>
    </r>
  </si>
  <si>
    <r>
      <t>P2</t>
    </r>
    <r>
      <rPr>
        <vertAlign val="subscript"/>
        <sz val="9"/>
        <rFont val="Arial"/>
        <family val="2"/>
      </rPr>
      <t>sf</t>
    </r>
  </si>
  <si>
    <t>Weight of Pot # 3 with water</t>
  </si>
  <si>
    <r>
      <t>P3</t>
    </r>
    <r>
      <rPr>
        <vertAlign val="subscript"/>
        <sz val="9"/>
        <rFont val="Arial"/>
        <family val="2"/>
      </rPr>
      <t>ci</t>
    </r>
  </si>
  <si>
    <r>
      <t>P3</t>
    </r>
    <r>
      <rPr>
        <vertAlign val="subscript"/>
        <sz val="9"/>
        <rFont val="Arial"/>
        <family val="2"/>
      </rPr>
      <t>cf</t>
    </r>
  </si>
  <si>
    <r>
      <t>P3</t>
    </r>
    <r>
      <rPr>
        <vertAlign val="subscript"/>
        <sz val="9"/>
        <rFont val="Arial"/>
        <family val="2"/>
      </rPr>
      <t>hi</t>
    </r>
  </si>
  <si>
    <r>
      <t>P3</t>
    </r>
    <r>
      <rPr>
        <vertAlign val="subscript"/>
        <sz val="9"/>
        <rFont val="Arial"/>
        <family val="2"/>
      </rPr>
      <t>hf</t>
    </r>
  </si>
  <si>
    <r>
      <t>P3</t>
    </r>
    <r>
      <rPr>
        <vertAlign val="subscript"/>
        <sz val="9"/>
        <rFont val="Arial"/>
        <family val="2"/>
      </rPr>
      <t>si</t>
    </r>
  </si>
  <si>
    <r>
      <t>P3</t>
    </r>
    <r>
      <rPr>
        <vertAlign val="subscript"/>
        <sz val="9"/>
        <rFont val="Arial"/>
        <family val="2"/>
      </rPr>
      <t>sf</t>
    </r>
  </si>
  <si>
    <t>Initial Test Conditions</t>
  </si>
  <si>
    <t>Weight of Pot # 4 with water</t>
  </si>
  <si>
    <r>
      <t>P4</t>
    </r>
    <r>
      <rPr>
        <vertAlign val="subscript"/>
        <sz val="9"/>
        <rFont val="Arial"/>
        <family val="2"/>
      </rPr>
      <t>ci</t>
    </r>
  </si>
  <si>
    <r>
      <t>P4</t>
    </r>
    <r>
      <rPr>
        <vertAlign val="subscript"/>
        <sz val="9"/>
        <rFont val="Arial"/>
        <family val="2"/>
      </rPr>
      <t>cf</t>
    </r>
  </si>
  <si>
    <r>
      <t>P4</t>
    </r>
    <r>
      <rPr>
        <vertAlign val="subscript"/>
        <sz val="9"/>
        <rFont val="Arial"/>
        <family val="2"/>
      </rPr>
      <t>hi</t>
    </r>
  </si>
  <si>
    <r>
      <t>P4</t>
    </r>
    <r>
      <rPr>
        <vertAlign val="subscript"/>
        <sz val="9"/>
        <rFont val="Arial"/>
        <family val="2"/>
      </rPr>
      <t>hf</t>
    </r>
  </si>
  <si>
    <r>
      <t>P4</t>
    </r>
    <r>
      <rPr>
        <vertAlign val="subscript"/>
        <sz val="9"/>
        <rFont val="Arial"/>
        <family val="2"/>
      </rPr>
      <t>si</t>
    </r>
  </si>
  <si>
    <r>
      <t>P4</t>
    </r>
    <r>
      <rPr>
        <vertAlign val="subscript"/>
        <sz val="9"/>
        <rFont val="Arial"/>
        <family val="2"/>
      </rPr>
      <t>sf</t>
    </r>
  </si>
  <si>
    <t>Data</t>
  </si>
  <si>
    <t>value</t>
  </si>
  <si>
    <t>units</t>
  </si>
  <si>
    <t>Fire-starting materials (if any)</t>
  </si>
  <si>
    <t>--</t>
  </si>
  <si>
    <t>Dry weight of Pot # 1 (grams)</t>
  </si>
  <si>
    <t>P1</t>
  </si>
  <si>
    <t>Weight of charcoal+container</t>
  </si>
  <si>
    <r>
      <t>c</t>
    </r>
    <r>
      <rPr>
        <vertAlign val="subscript"/>
        <sz val="9"/>
        <rFont val="Arial"/>
        <family val="2"/>
      </rPr>
      <t>c</t>
    </r>
  </si>
  <si>
    <r>
      <t>c</t>
    </r>
    <r>
      <rPr>
        <vertAlign val="subscript"/>
        <sz val="9"/>
        <rFont val="Arial"/>
        <family val="2"/>
      </rPr>
      <t>h</t>
    </r>
  </si>
  <si>
    <r>
      <t>c</t>
    </r>
    <r>
      <rPr>
        <vertAlign val="subscript"/>
        <sz val="9"/>
        <rFont val="Arial"/>
        <family val="2"/>
      </rPr>
      <t>s</t>
    </r>
  </si>
  <si>
    <t>Dry weight of Pot # 2 (grams)</t>
  </si>
  <si>
    <t>P2</t>
  </si>
  <si>
    <t>Gross calorific value (dry fuel)</t>
  </si>
  <si>
    <t>kJ/kg</t>
  </si>
  <si>
    <t>HHV</t>
  </si>
  <si>
    <t>Dry weight of Pot # 3 (grams)</t>
  </si>
  <si>
    <t>P3</t>
  </si>
  <si>
    <t>Net calorific value (dry fuel)</t>
  </si>
  <si>
    <t>LHV</t>
  </si>
  <si>
    <t>Dry weight of Pot # 4 (grams)</t>
  </si>
  <si>
    <t>P4</t>
  </si>
  <si>
    <t xml:space="preserve">COLD START </t>
  </si>
  <si>
    <t>HOT START</t>
  </si>
  <si>
    <r>
      <t>SIMMER TEST</t>
    </r>
    <r>
      <rPr>
        <sz val="9"/>
        <rFont val="Arial"/>
        <family val="2"/>
      </rPr>
      <t xml:space="preserve"> (CALCULATIONS DIFFER FROM HIGH POWER TEST)</t>
    </r>
  </si>
  <si>
    <t>%</t>
  </si>
  <si>
    <t>Weight of container for char (grams)</t>
  </si>
  <si>
    <t>k</t>
  </si>
  <si>
    <t>Calculations/Results</t>
  </si>
  <si>
    <t xml:space="preserve">Local boiling point </t>
  </si>
  <si>
    <r>
      <t>T</t>
    </r>
    <r>
      <rPr>
        <vertAlign val="subscript"/>
        <sz val="9"/>
        <rFont val="Arial"/>
        <family val="2"/>
      </rPr>
      <t>b</t>
    </r>
  </si>
  <si>
    <r>
      <t>f</t>
    </r>
    <r>
      <rPr>
        <vertAlign val="subscript"/>
        <sz val="9"/>
        <rFont val="Arial"/>
        <family val="2"/>
      </rPr>
      <t>cm</t>
    </r>
  </si>
  <si>
    <r>
      <t>f</t>
    </r>
    <r>
      <rPr>
        <vertAlign val="subscript"/>
        <sz val="9"/>
        <rFont val="Arial"/>
        <family val="2"/>
      </rPr>
      <t>hm</t>
    </r>
  </si>
  <si>
    <r>
      <t>f</t>
    </r>
    <r>
      <rPr>
        <vertAlign val="subscript"/>
        <sz val="9"/>
        <rFont val="Arial"/>
        <family val="2"/>
      </rPr>
      <t>sm</t>
    </r>
  </si>
  <si>
    <t xml:space="preserve">Net change in char during test </t>
  </si>
  <si>
    <r>
      <t>Δc</t>
    </r>
    <r>
      <rPr>
        <vertAlign val="subscript"/>
        <sz val="9"/>
        <rFont val="Arial"/>
        <family val="2"/>
      </rPr>
      <t>c</t>
    </r>
  </si>
  <si>
    <r>
      <t>Δc</t>
    </r>
    <r>
      <rPr>
        <vertAlign val="subscript"/>
        <sz val="9"/>
        <rFont val="Arial"/>
        <family val="2"/>
      </rPr>
      <t>h</t>
    </r>
  </si>
  <si>
    <t>Net change in char during test phase</t>
  </si>
  <si>
    <r>
      <t>Δc</t>
    </r>
    <r>
      <rPr>
        <vertAlign val="subscript"/>
        <sz val="9"/>
        <rFont val="Arial"/>
        <family val="2"/>
      </rPr>
      <t>s</t>
    </r>
  </si>
  <si>
    <r>
      <t>f</t>
    </r>
    <r>
      <rPr>
        <vertAlign val="subscript"/>
        <sz val="9"/>
        <rFont val="Arial"/>
        <family val="2"/>
      </rPr>
      <t>cd</t>
    </r>
  </si>
  <si>
    <r>
      <t>f</t>
    </r>
    <r>
      <rPr>
        <vertAlign val="subscript"/>
        <sz val="9"/>
        <rFont val="Arial"/>
        <family val="2"/>
      </rPr>
      <t>hd</t>
    </r>
  </si>
  <si>
    <r>
      <t>f</t>
    </r>
    <r>
      <rPr>
        <vertAlign val="subscript"/>
        <sz val="9"/>
        <rFont val="Arial"/>
        <family val="2"/>
      </rPr>
      <t>sd</t>
    </r>
  </si>
  <si>
    <t>Water vaporized from all pots</t>
  </si>
  <si>
    <r>
      <t>w</t>
    </r>
    <r>
      <rPr>
        <vertAlign val="subscript"/>
        <sz val="9"/>
        <rFont val="Arial"/>
        <family val="2"/>
      </rPr>
      <t>cv</t>
    </r>
  </si>
  <si>
    <r>
      <t>w</t>
    </r>
    <r>
      <rPr>
        <vertAlign val="subscript"/>
        <sz val="9"/>
        <rFont val="Arial"/>
        <family val="2"/>
      </rPr>
      <t>hv</t>
    </r>
  </si>
  <si>
    <t>Water vaporized</t>
  </si>
  <si>
    <r>
      <t>w</t>
    </r>
    <r>
      <rPr>
        <vertAlign val="subscript"/>
        <sz val="9"/>
        <rFont val="Arial"/>
        <family val="2"/>
      </rPr>
      <t>sv</t>
    </r>
  </si>
  <si>
    <t>Effective mass of water boiled</t>
  </si>
  <si>
    <r>
      <t>w</t>
    </r>
    <r>
      <rPr>
        <vertAlign val="subscript"/>
        <sz val="9"/>
        <rFont val="Arial"/>
        <family val="2"/>
      </rPr>
      <t>cr</t>
    </r>
  </si>
  <si>
    <r>
      <t>w</t>
    </r>
    <r>
      <rPr>
        <vertAlign val="subscript"/>
        <sz val="9"/>
        <rFont val="Arial"/>
        <family val="2"/>
      </rPr>
      <t>hr</t>
    </r>
  </si>
  <si>
    <t>Water remaining at end - All Pots</t>
  </si>
  <si>
    <r>
      <t>w</t>
    </r>
    <r>
      <rPr>
        <vertAlign val="subscript"/>
        <sz val="9"/>
        <rFont val="Arial"/>
        <family val="2"/>
      </rPr>
      <t>sr</t>
    </r>
  </si>
  <si>
    <t>Time to boil Pot # 1</t>
  </si>
  <si>
    <t>min</t>
  </si>
  <si>
    <r>
      <t>Δt</t>
    </r>
    <r>
      <rPr>
        <vertAlign val="subscript"/>
        <sz val="9"/>
        <rFont val="Arial"/>
        <family val="2"/>
      </rPr>
      <t>c</t>
    </r>
  </si>
  <si>
    <r>
      <t>Δt</t>
    </r>
    <r>
      <rPr>
        <vertAlign val="subscript"/>
        <sz val="9"/>
        <rFont val="Arial"/>
        <family val="2"/>
      </rPr>
      <t>h</t>
    </r>
  </si>
  <si>
    <t>Time of simmer (should be ~45 minutes)</t>
  </si>
  <si>
    <r>
      <t>Δt</t>
    </r>
    <r>
      <rPr>
        <vertAlign val="subscript"/>
        <sz val="9"/>
        <rFont val="Arial"/>
        <family val="2"/>
      </rPr>
      <t>s</t>
    </r>
  </si>
  <si>
    <t>Temp-corr time to boil Pot # 1</t>
  </si>
  <si>
    <r>
      <t>Δt</t>
    </r>
    <r>
      <rPr>
        <vertAlign val="superscript"/>
        <sz val="9"/>
        <rFont val="Arial"/>
        <family val="2"/>
      </rPr>
      <t>T</t>
    </r>
    <r>
      <rPr>
        <vertAlign val="subscript"/>
        <sz val="9"/>
        <rFont val="Arial"/>
        <family val="2"/>
      </rPr>
      <t>c</t>
    </r>
  </si>
  <si>
    <r>
      <t>Δt</t>
    </r>
    <r>
      <rPr>
        <vertAlign val="superscript"/>
        <sz val="9"/>
        <rFont val="Arial"/>
        <family val="2"/>
      </rPr>
      <t>T</t>
    </r>
    <r>
      <rPr>
        <vertAlign val="subscript"/>
        <sz val="9"/>
        <rFont val="Arial"/>
        <family val="2"/>
      </rPr>
      <t>h</t>
    </r>
  </si>
  <si>
    <t>Thermal efficiency</t>
  </si>
  <si>
    <r>
      <t>h</t>
    </r>
    <r>
      <rPr>
        <vertAlign val="subscript"/>
        <sz val="9"/>
        <rFont val="Arial"/>
        <family val="2"/>
      </rPr>
      <t>s</t>
    </r>
  </si>
  <si>
    <r>
      <t>h</t>
    </r>
    <r>
      <rPr>
        <vertAlign val="subscript"/>
        <sz val="9"/>
        <rFont val="Arial"/>
        <family val="2"/>
      </rPr>
      <t>c</t>
    </r>
  </si>
  <si>
    <r>
      <t>h</t>
    </r>
    <r>
      <rPr>
        <vertAlign val="subscript"/>
        <sz val="9"/>
        <rFont val="Arial"/>
        <family val="2"/>
      </rPr>
      <t>h</t>
    </r>
  </si>
  <si>
    <t>Burning rate</t>
  </si>
  <si>
    <t>g/min</t>
  </si>
  <si>
    <r>
      <t>r</t>
    </r>
    <r>
      <rPr>
        <vertAlign val="subscript"/>
        <sz val="9"/>
        <rFont val="Arial"/>
        <family val="2"/>
      </rPr>
      <t>sb</t>
    </r>
  </si>
  <si>
    <r>
      <t>r</t>
    </r>
    <r>
      <rPr>
        <vertAlign val="subscript"/>
        <sz val="9"/>
        <rFont val="Arial"/>
        <family val="2"/>
      </rPr>
      <t>cb</t>
    </r>
  </si>
  <si>
    <r>
      <t>r</t>
    </r>
    <r>
      <rPr>
        <vertAlign val="subscript"/>
        <sz val="9"/>
        <rFont val="Arial"/>
        <family val="2"/>
      </rPr>
      <t>hb</t>
    </r>
  </si>
  <si>
    <t xml:space="preserve">Specific fuel consumption </t>
  </si>
  <si>
    <t>g/liter</t>
  </si>
  <si>
    <r>
      <t>SC</t>
    </r>
    <r>
      <rPr>
        <vertAlign val="subscript"/>
        <sz val="9"/>
        <rFont val="Arial"/>
        <family val="2"/>
      </rPr>
      <t>s</t>
    </r>
  </si>
  <si>
    <r>
      <t>SC</t>
    </r>
    <r>
      <rPr>
        <vertAlign val="subscript"/>
        <sz val="9"/>
        <rFont val="Arial"/>
        <family val="2"/>
      </rPr>
      <t>c</t>
    </r>
  </si>
  <si>
    <r>
      <t>SC</t>
    </r>
    <r>
      <rPr>
        <vertAlign val="subscript"/>
        <sz val="9"/>
        <rFont val="Arial"/>
        <family val="2"/>
      </rPr>
      <t>h</t>
    </r>
  </si>
  <si>
    <t>Firepower</t>
  </si>
  <si>
    <t>watts</t>
  </si>
  <si>
    <r>
      <t>FP</t>
    </r>
    <r>
      <rPr>
        <vertAlign val="subscript"/>
        <sz val="9"/>
        <rFont val="Arial"/>
        <family val="2"/>
      </rPr>
      <t>s</t>
    </r>
  </si>
  <si>
    <t xml:space="preserve">Temp-corr sp consumption </t>
  </si>
  <si>
    <r>
      <t>SC</t>
    </r>
    <r>
      <rPr>
        <vertAlign val="superscript"/>
        <sz val="9"/>
        <rFont val="Arial"/>
        <family val="2"/>
      </rPr>
      <t>T</t>
    </r>
    <r>
      <rPr>
        <vertAlign val="subscript"/>
        <sz val="9"/>
        <rFont val="Arial"/>
        <family val="2"/>
      </rPr>
      <t>c</t>
    </r>
  </si>
  <si>
    <r>
      <t>SC</t>
    </r>
    <r>
      <rPr>
        <vertAlign val="superscript"/>
        <sz val="9"/>
        <rFont val="Arial"/>
        <family val="2"/>
      </rPr>
      <t>T</t>
    </r>
    <r>
      <rPr>
        <vertAlign val="subscript"/>
        <sz val="9"/>
        <rFont val="Arial"/>
        <family val="2"/>
      </rPr>
      <t>h</t>
    </r>
  </si>
  <si>
    <t>Turn down ratio</t>
  </si>
  <si>
    <t>TDR</t>
  </si>
  <si>
    <t>Temp-corr sp energy consumpt.</t>
  </si>
  <si>
    <t>kJ/liter</t>
  </si>
  <si>
    <r>
      <t>SE</t>
    </r>
    <r>
      <rPr>
        <vertAlign val="superscript"/>
        <sz val="9"/>
        <rFont val="Arial"/>
        <family val="2"/>
      </rPr>
      <t>T</t>
    </r>
    <r>
      <rPr>
        <vertAlign val="subscript"/>
        <sz val="9"/>
        <rFont val="Arial"/>
        <family val="2"/>
      </rPr>
      <t>C</t>
    </r>
  </si>
  <si>
    <r>
      <t>SE</t>
    </r>
    <r>
      <rPr>
        <vertAlign val="superscript"/>
        <sz val="9"/>
        <rFont val="Arial"/>
        <family val="2"/>
      </rPr>
      <t>T</t>
    </r>
    <r>
      <rPr>
        <vertAlign val="subscript"/>
        <sz val="9"/>
        <rFont val="Arial"/>
        <family val="2"/>
      </rPr>
      <t>H</t>
    </r>
  </si>
  <si>
    <t>Specific Energy Consumption</t>
  </si>
  <si>
    <r>
      <t>SE</t>
    </r>
    <r>
      <rPr>
        <vertAlign val="subscript"/>
        <sz val="9"/>
        <rFont val="Arial"/>
        <family val="2"/>
      </rPr>
      <t>S</t>
    </r>
  </si>
  <si>
    <r>
      <t>FP</t>
    </r>
    <r>
      <rPr>
        <vertAlign val="subscript"/>
        <sz val="9"/>
        <rFont val="Arial"/>
        <family val="2"/>
      </rPr>
      <t>c</t>
    </r>
  </si>
  <si>
    <r>
      <t>FP</t>
    </r>
    <r>
      <rPr>
        <vertAlign val="subscript"/>
        <sz val="9"/>
        <rFont val="Arial"/>
        <family val="2"/>
      </rPr>
      <t>h</t>
    </r>
  </si>
  <si>
    <t>Fuel Benchmark to Complete 5L WBT</t>
  </si>
  <si>
    <t>BF</t>
  </si>
  <si>
    <t>Energy Benchmark to Complete 5L WBT</t>
  </si>
  <si>
    <t>kJ</t>
  </si>
  <si>
    <t>BE</t>
  </si>
  <si>
    <t>BASIC TEST DATA</t>
  </si>
  <si>
    <r>
      <t>T2</t>
    </r>
    <r>
      <rPr>
        <vertAlign val="subscript"/>
        <sz val="9"/>
        <rFont val="Arial"/>
        <family val="2"/>
      </rPr>
      <t>ci</t>
    </r>
  </si>
  <si>
    <r>
      <t>T3</t>
    </r>
    <r>
      <rPr>
        <vertAlign val="subscript"/>
        <sz val="9"/>
        <rFont val="Arial"/>
        <family val="2"/>
      </rPr>
      <t>ci</t>
    </r>
  </si>
  <si>
    <t>1. HIGH POWER TEST (COLD START)</t>
  </si>
  <si>
    <t>Test 1</t>
  </si>
  <si>
    <t>Test 2</t>
  </si>
  <si>
    <t>Test 3</t>
  </si>
  <si>
    <t>Average</t>
  </si>
  <si>
    <t>St Dev</t>
  </si>
  <si>
    <t>COV</t>
  </si>
  <si>
    <t>Temp-corrected time to boil Pot # 1</t>
  </si>
  <si>
    <t xml:space="preserve">Temp-corrected specific consumption </t>
  </si>
  <si>
    <t>Temp-corrected specific energy cons.</t>
  </si>
  <si>
    <t>2. HIGH POWER TEST (HOT START)</t>
  </si>
  <si>
    <t>3. LOW POWER (SIMMER)</t>
  </si>
  <si>
    <t>BENCHMARK VALUES (for 5L)</t>
  </si>
  <si>
    <t>Fuel Use Benchmark Value</t>
  </si>
  <si>
    <t>Energy Use Benchmark Value</t>
  </si>
  <si>
    <t>Test-1</t>
  </si>
  <si>
    <t xml:space="preserve">Instrument reading </t>
  </si>
  <si>
    <t>Test-2</t>
  </si>
  <si>
    <t xml:space="preserve"> (% dry basis)</t>
  </si>
  <si>
    <t>Piece 1</t>
  </si>
  <si>
    <t>Piece 2</t>
  </si>
  <si>
    <t>Piece 3</t>
  </si>
  <si>
    <t>Average moisture content (%)</t>
  </si>
  <si>
    <t>dry-basis</t>
  </si>
  <si>
    <t>wet-basis</t>
  </si>
  <si>
    <t>Test-3</t>
  </si>
  <si>
    <t>Fuel moisture content worksheet</t>
  </si>
  <si>
    <t>wind conditions</t>
  </si>
  <si>
    <t>Tree species</t>
  </si>
  <si>
    <t>Common name(s)</t>
  </si>
  <si>
    <t>Calorific value (kcal/kg)</t>
  </si>
  <si>
    <t>From RWEDP Report 29</t>
  </si>
  <si>
    <t>Ann avg yield</t>
  </si>
  <si>
    <t>Avg rot'n length</t>
  </si>
  <si>
    <t>Possible</t>
  </si>
  <si>
    <t>Nitrogen</t>
  </si>
  <si>
    <t>Use</t>
  </si>
  <si>
    <t>Oven-dry</t>
  </si>
  <si>
    <r>
      <t>HHV</t>
    </r>
    <r>
      <rPr>
        <b/>
        <vertAlign val="superscript"/>
        <sz val="10"/>
        <rFont val="Arial"/>
        <family val="2"/>
      </rPr>
      <t>d</t>
    </r>
  </si>
  <si>
    <t>Data on N. American trees from Cheremisinoff (1980)</t>
  </si>
  <si>
    <t>Fuel</t>
  </si>
  <si>
    <t>Calorific value (MJ/kg)</t>
  </si>
  <si>
    <t xml:space="preserve">Source </t>
  </si>
  <si>
    <t>low</t>
  </si>
  <si>
    <t>high</t>
  </si>
  <si>
    <t>average</t>
  </si>
  <si>
    <t>Source</t>
  </si>
  <si>
    <t>Scientific Name</t>
  </si>
  <si>
    <t>(m3/ha-yr)</t>
  </si>
  <si>
    <t>(yrs)</t>
  </si>
  <si>
    <t>Regenerationa</t>
  </si>
  <si>
    <t>Fixingb</t>
  </si>
  <si>
    <r>
      <t>Priority</t>
    </r>
    <r>
      <rPr>
        <b/>
        <vertAlign val="superscript"/>
        <sz val="10"/>
        <rFont val="Arial"/>
        <family val="2"/>
      </rPr>
      <t>c</t>
    </r>
  </si>
  <si>
    <t>density (kg.m^3</t>
  </si>
  <si>
    <t xml:space="preserve">high </t>
  </si>
  <si>
    <t>MJ/kg (oven dry)</t>
  </si>
  <si>
    <t xml:space="preserve">btu/lb (oven dry) </t>
  </si>
  <si>
    <t xml:space="preserve">MJ/kg (oven dry) </t>
  </si>
  <si>
    <t>acacia auriculiformis</t>
  </si>
  <si>
    <t>Kerosene</t>
  </si>
  <si>
    <t>Zhang et al., 2000</t>
  </si>
  <si>
    <t>(Select from list)</t>
  </si>
  <si>
    <t>(select from list or use defalut value of 20,000 MJ/kg)</t>
  </si>
  <si>
    <t>Acacia auriculiformis</t>
  </si>
  <si>
    <t>10-20</t>
  </si>
  <si>
    <t>S, C</t>
  </si>
  <si>
    <t>Y</t>
  </si>
  <si>
    <t>F</t>
  </si>
  <si>
    <t>600-800</t>
  </si>
  <si>
    <t xml:space="preserve">bark </t>
  </si>
  <si>
    <t>wood</t>
  </si>
  <si>
    <t xml:space="preserve">acacia decurrens </t>
  </si>
  <si>
    <t>IEA, 2005</t>
  </si>
  <si>
    <t>No wind</t>
  </si>
  <si>
    <t>LPG</t>
  </si>
  <si>
    <t>Acacia decurrens</t>
  </si>
  <si>
    <t>-</t>
  </si>
  <si>
    <t>balsam fir</t>
  </si>
  <si>
    <t xml:space="preserve">acacia mearnsi </t>
  </si>
  <si>
    <t>Smith et al, 2001</t>
  </si>
  <si>
    <t>Light breeze</t>
  </si>
  <si>
    <t>Acacia farnesiana</t>
  </si>
  <si>
    <t>beech</t>
  </si>
  <si>
    <t>acacia nilotica</t>
  </si>
  <si>
    <t>Moderate wind</t>
  </si>
  <si>
    <t>Charcoal</t>
  </si>
  <si>
    <t>Strong wind</t>
  </si>
  <si>
    <t>Coal</t>
  </si>
  <si>
    <t>Very strong wind</t>
  </si>
  <si>
    <t>Crop residues</t>
  </si>
  <si>
    <t>US DoE</t>
  </si>
  <si>
    <t>Dung</t>
  </si>
  <si>
    <t xml:space="preserve">Natural gas </t>
  </si>
  <si>
    <t>Average Hardwood</t>
  </si>
  <si>
    <t>Average Softwood (Conifer)</t>
  </si>
  <si>
    <t>Average Softwood (conifer)</t>
  </si>
  <si>
    <t>Biogas</t>
  </si>
  <si>
    <t>Abies Balsamea (Balsam Fir)</t>
  </si>
  <si>
    <t>Abies Balsamea</t>
  </si>
  <si>
    <t>Acacia leucopholea</t>
  </si>
  <si>
    <t>black cottonwood</t>
  </si>
  <si>
    <t>acacia tortilis</t>
  </si>
  <si>
    <t>Acacia Auriculiformis (Ear-Leaf Acacia, Ear-Pod Wattle)</t>
  </si>
  <si>
    <t>Acacia Auriculiformis</t>
  </si>
  <si>
    <t>ear-leaf acacia, ear-pod wattle</t>
  </si>
  <si>
    <t>Acacia mearnsii</t>
  </si>
  <si>
    <t>10-25</t>
  </si>
  <si>
    <t>700-850</t>
  </si>
  <si>
    <t>black willow</t>
  </si>
  <si>
    <t>albizia falcataria</t>
  </si>
  <si>
    <t>Acacia Decurrens  (King Wattle, Green Wattle, Sydney Black Wattle)</t>
  </si>
  <si>
    <t xml:space="preserve">Acacia Decurrens </t>
  </si>
  <si>
    <t>king wattle, green wattle, Sydney black wattle</t>
  </si>
  <si>
    <t>Albizia falcataria</t>
  </si>
  <si>
    <t>30-40</t>
  </si>
  <si>
    <t>P, T, F</t>
  </si>
  <si>
    <t>douglas fir</t>
  </si>
  <si>
    <t>albizia lebbek</t>
  </si>
  <si>
    <t>Acacia Farnesiana (Sweet Acacia, Sweet Wattle)</t>
  </si>
  <si>
    <t>Acacia Farnesiana</t>
  </si>
  <si>
    <t>sweet acacia, sweet wattle</t>
  </si>
  <si>
    <t>Albizia lebbeck</t>
  </si>
  <si>
    <t>T, F</t>
  </si>
  <si>
    <t>550-600</t>
  </si>
  <si>
    <t>eastern hemlock</t>
  </si>
  <si>
    <t>alnus rubra</t>
  </si>
  <si>
    <t>@ 1.7 % MCwet</t>
  </si>
  <si>
    <t>Acacia Leucophloea (Kikar, Kuteeera Gum)</t>
  </si>
  <si>
    <t>Acacia Leucophloea</t>
  </si>
  <si>
    <t>kikar, kuteeera gum</t>
  </si>
  <si>
    <t>Albizia procera</t>
  </si>
  <si>
    <t>elm</t>
  </si>
  <si>
    <t>anogeissus latifolia</t>
  </si>
  <si>
    <t>@ ~5 % MCwet</t>
  </si>
  <si>
    <t>Pennise et al. 2002</t>
  </si>
  <si>
    <t>Acacia Mearnsi  (Black Wattle)</t>
  </si>
  <si>
    <t xml:space="preserve">Acacia Mearnsi </t>
  </si>
  <si>
    <t>black wattle</t>
  </si>
  <si>
    <t>Alnus nepalensis</t>
  </si>
  <si>
    <t>15-20</t>
  </si>
  <si>
    <t>F, P</t>
  </si>
  <si>
    <t>320-370</t>
  </si>
  <si>
    <t>ponderosa pine</t>
  </si>
  <si>
    <t>balanites aegyptiaca</t>
  </si>
  <si>
    <t>Acacia Nilotica (Egyptian Thorn, Babul (India), Babar (Pakistan))</t>
  </si>
  <si>
    <t>Acacia Nilotica</t>
  </si>
  <si>
    <t>egyptian thorn, babul (India), babar (Pakistan)</t>
  </si>
  <si>
    <t>Alstonia macrophylla</t>
  </si>
  <si>
    <t>S</t>
  </si>
  <si>
    <t>N</t>
  </si>
  <si>
    <t>P, T</t>
  </si>
  <si>
    <t>hickory</t>
  </si>
  <si>
    <t>calliandra calothyrsus</t>
  </si>
  <si>
    <t>Acacia Tortilis (Umbrella Thorn)</t>
  </si>
  <si>
    <t>Acacia Tortilis</t>
  </si>
  <si>
    <t>umbrella thorn</t>
  </si>
  <si>
    <t>Anthocephalus cadamba</t>
  </si>
  <si>
    <t>red alder</t>
  </si>
  <si>
    <t>casuarina equistofolia</t>
  </si>
  <si>
    <t>Acer Rubrum (Red Maple)</t>
  </si>
  <si>
    <t>Acer Rubrum</t>
  </si>
  <si>
    <t>red maple</t>
  </si>
  <si>
    <t>dry</t>
  </si>
  <si>
    <t>Antidesma ghaessimbilla</t>
  </si>
  <si>
    <t>dalbergia sissoo</t>
  </si>
  <si>
    <t>Albizia Falcataria (Batai, Malucca Albizia, ,Placata)</t>
  </si>
  <si>
    <t>Albizia Falcataria</t>
  </si>
  <si>
    <t>batai, malucca albizia, ,placata</t>
  </si>
  <si>
    <t>Avicennia officinalis</t>
  </si>
  <si>
    <t>630-700</t>
  </si>
  <si>
    <t>red oak</t>
  </si>
  <si>
    <t>derris indica</t>
  </si>
  <si>
    <t xml:space="preserve">Albizia Lebbek (Lebbek, East Indian Walnut Tree) </t>
  </si>
  <si>
    <t>Albizia Lebbek</t>
  </si>
  <si>
    <t xml:space="preserve">lebbek, East Indian walnut tree; </t>
  </si>
  <si>
    <t>Bruguiera gymnorrhiza</t>
  </si>
  <si>
    <t>5-10</t>
  </si>
  <si>
    <t>700-1,000</t>
  </si>
  <si>
    <t>southern pine</t>
  </si>
  <si>
    <t>emblica ofiicinalis</t>
  </si>
  <si>
    <t>Maize stalks</t>
  </si>
  <si>
    <t>@ 9.1 % MCwet</t>
  </si>
  <si>
    <t>Albizia Procera (Albicia, Silver Bark Rain Tree)</t>
  </si>
  <si>
    <t>Albizia Procera</t>
  </si>
  <si>
    <t>albicia, silver bark rain tree</t>
  </si>
  <si>
    <t>Bruguiera parviflora</t>
  </si>
  <si>
    <t>6-10</t>
  </si>
  <si>
    <t>sycamore</t>
  </si>
  <si>
    <t>eucalyptus camaldulensis</t>
  </si>
  <si>
    <t>@ 5.0 % MCwet</t>
  </si>
  <si>
    <t>RWEDP, 1993</t>
  </si>
  <si>
    <t>Alnus Nepalensis (Nepal Alder)</t>
  </si>
  <si>
    <t>Alnus Nepalensis</t>
  </si>
  <si>
    <t>Nepal alder</t>
  </si>
  <si>
    <t>Bruguiera sexangula</t>
  </si>
  <si>
    <t>western hemlock</t>
  </si>
  <si>
    <t>eucalyptus globulus</t>
  </si>
  <si>
    <t>Wheat stalks</t>
  </si>
  <si>
    <t xml:space="preserve"> @ 7.3 % MCwet</t>
  </si>
  <si>
    <t>Alnus Rubra (Red Alder)</t>
  </si>
  <si>
    <t>Alnus Rubra</t>
  </si>
  <si>
    <t>Calliandra calothyrsus</t>
  </si>
  <si>
    <r>
      <t>10-20</t>
    </r>
    <r>
      <rPr>
        <vertAlign val="superscript"/>
        <sz val="10"/>
        <rFont val="Arial"/>
        <family val="2"/>
      </rPr>
      <t>e</t>
    </r>
  </si>
  <si>
    <t>F, T</t>
  </si>
  <si>
    <t>510-780</t>
  </si>
  <si>
    <t>western red cedar</t>
  </si>
  <si>
    <t>gliricidia sepium</t>
  </si>
  <si>
    <t>Cassia fistula</t>
  </si>
  <si>
    <t xml:space="preserve">white oak </t>
  </si>
  <si>
    <t>gmelina arborea</t>
  </si>
  <si>
    <t>Rice stalks</t>
  </si>
  <si>
    <t>@ 8.8 % MCwet</t>
  </si>
  <si>
    <t>Alstonia Macrophylla (Devil Tree)</t>
  </si>
  <si>
    <t>Alstonia Macrophylla</t>
  </si>
  <si>
    <t xml:space="preserve">devil tree, </t>
  </si>
  <si>
    <t>Cassia siamea</t>
  </si>
  <si>
    <t>10-15</t>
  </si>
  <si>
    <t>leucaena leucocephala</t>
  </si>
  <si>
    <t>Anogeissus Latifolia (Axle-Wood Tree, Dhausa (Hindi))</t>
  </si>
  <si>
    <t>Anogeissus Latifolia</t>
  </si>
  <si>
    <t xml:space="preserve">axle-wood tree, dhausa (Hindi) </t>
  </si>
  <si>
    <t>Cassuarina equisetifolia</t>
  </si>
  <si>
    <t>5-15</t>
  </si>
  <si>
    <t>800-1,200</t>
  </si>
  <si>
    <t>melia azedarach</t>
  </si>
  <si>
    <t>@ 7.3 % MCwet</t>
  </si>
  <si>
    <t>Anthocephalus Cadamba (Labula (Indonesia))</t>
  </si>
  <si>
    <t>Anthocephalus Cadamba</t>
  </si>
  <si>
    <t>Labula (Indonesia)</t>
  </si>
  <si>
    <t>Ceriops tangal</t>
  </si>
  <si>
    <t>pithecellobium dulce</t>
  </si>
  <si>
    <t>Antidesma Ghaessimbilla</t>
  </si>
  <si>
    <t>Cocus nucifera</t>
  </si>
  <si>
    <t>populus euphratica</t>
  </si>
  <si>
    <t>Avicennia Officinalis (Mangrove, Api-Api Sudu (Philippines))</t>
  </si>
  <si>
    <t>Avicennia Officinalis</t>
  </si>
  <si>
    <t>mangrove, api-api sudu (Philippines)</t>
  </si>
  <si>
    <t>Cordia dichotoma</t>
  </si>
  <si>
    <t>T</t>
  </si>
  <si>
    <t>prosopis cineraria</t>
  </si>
  <si>
    <t>China</t>
  </si>
  <si>
    <t>Balanites Aegyptiaca (Desert Date, Thorn Tree, Soapberry Tree)</t>
  </si>
  <si>
    <t>Balanites Aegyptiaca</t>
  </si>
  <si>
    <t>desert date, thorn tree, soapberry tree</t>
  </si>
  <si>
    <t>Dalbergia latifolia</t>
  </si>
  <si>
    <t xml:space="preserve">psidium guajava </t>
  </si>
  <si>
    <t>@ 2.1 % MCwet</t>
  </si>
  <si>
    <t>Bruguiera Gymnorrhiza (Black Mangrove, Large-Leafed Mangrove)</t>
  </si>
  <si>
    <t>Bruguiera Gymnorrhiza</t>
  </si>
  <si>
    <t>black mangrove, large-leafed mangrove</t>
  </si>
  <si>
    <t>Dalbergis sissoo</t>
  </si>
  <si>
    <t>rhizophera spp</t>
  </si>
  <si>
    <t>China (washed)</t>
  </si>
  <si>
    <t>@ 4.7 % MCwet</t>
  </si>
  <si>
    <t>Bruguiera Parviflora (Thua Shale, Slender-Fruited Orange Mangrove)</t>
  </si>
  <si>
    <t>Bruguiera Parviflora</t>
  </si>
  <si>
    <t>thua shale, slender-fruited orange mangrove</t>
  </si>
  <si>
    <t>Derris indica</t>
  </si>
  <si>
    <t>sapium sebiferum</t>
  </si>
  <si>
    <t>US</t>
  </si>
  <si>
    <t>Bruguiera Sexangula (Orange Mangrove)</t>
  </si>
  <si>
    <t>Bruguiera Sexangula</t>
  </si>
  <si>
    <t>orange mangrove</t>
  </si>
  <si>
    <t>Diospyros philippinensis</t>
  </si>
  <si>
    <t>syzygium cumini</t>
  </si>
  <si>
    <t>India</t>
  </si>
  <si>
    <t>Calliandra Calothyrsus (Calliandra)</t>
  </si>
  <si>
    <t>Calliandra Calothyrsus</t>
  </si>
  <si>
    <t>calliandra</t>
  </si>
  <si>
    <t>Diospyros philosanthera</t>
  </si>
  <si>
    <t>trema spp</t>
  </si>
  <si>
    <t>South Africa</t>
  </si>
  <si>
    <t>Carya Spp (Hickory)</t>
  </si>
  <si>
    <t>Carya Spp</t>
  </si>
  <si>
    <t>Eucalyptus camaldulensis</t>
  </si>
  <si>
    <t>17-35f</t>
  </si>
  <si>
    <t>7-10f</t>
  </si>
  <si>
    <t>zizyphus mauritania</t>
  </si>
  <si>
    <t>Cassia Fistula (Cassia Stick Tree, Guayaba Cimarrona, Canafistula, Golden Shower, Indian Laburnum, Baton ‎Casse, Chacara, Nanban-Saikati, Kachang Kayu (Woody Bean), Kallober, Keyok, Klober)</t>
  </si>
  <si>
    <t>Cassia Fistula</t>
  </si>
  <si>
    <t>cassia stick tree, guayaba cimarrona, canafistula, golden shower, Indian laburnum, baton ‎casse, chacara, nanban-saikati, kachang kayu (woody bean), kallober, keyok, klober</t>
  </si>
  <si>
    <t>Eucalyptus deglupta</t>
  </si>
  <si>
    <t>abies balsamea</t>
  </si>
  <si>
    <t>Cassia Siamea (Siamese Cassia)</t>
  </si>
  <si>
    <t>Cassia Siamea</t>
  </si>
  <si>
    <t>siamese cassia</t>
  </si>
  <si>
    <t>Eucalyptus globulus</t>
  </si>
  <si>
    <t>10-30</t>
  </si>
  <si>
    <t>800-1,000</t>
  </si>
  <si>
    <t>acer rubrum</t>
  </si>
  <si>
    <t>Casuarina Equistofolia (Casuarina, She-Oak, Whistling Pine)</t>
  </si>
  <si>
    <t>Casuarina Equistofolia</t>
  </si>
  <si>
    <t>casuarina, she-oak, whistling pine</t>
  </si>
  <si>
    <t>Eucalyptus grandis</t>
  </si>
  <si>
    <t>17-60</t>
  </si>
  <si>
    <t>400-550</t>
  </si>
  <si>
    <t>Ceriops Tagal (Tagal Mangrove, Kandal)</t>
  </si>
  <si>
    <t>Ceriops Tagal</t>
  </si>
  <si>
    <t>tagal mangrove, kandal</t>
  </si>
  <si>
    <t>Gliricidia Sepium</t>
  </si>
  <si>
    <t>8-20</t>
  </si>
  <si>
    <t>P, F</t>
  </si>
  <si>
    <t>carya spp</t>
  </si>
  <si>
    <t>Cocus Nucifera (Coconut Palm)</t>
  </si>
  <si>
    <t>Cocus Nucifera</t>
  </si>
  <si>
    <t>coconut palm</t>
  </si>
  <si>
    <t>Gigantochloa apus</t>
  </si>
  <si>
    <t>fagus spp</t>
  </si>
  <si>
    <t>Cordia Dichotoma (Anunang (Philippines), Bird Lime Tree)</t>
  </si>
  <si>
    <t>Cordia Dichotoma</t>
  </si>
  <si>
    <t>anunang (Philippines), bird lime tree</t>
  </si>
  <si>
    <t>Lagerstroemia speciosa</t>
  </si>
  <si>
    <t>pinus elliotii</t>
  </si>
  <si>
    <t>Dalbergia Latifolia (East Indian Rosewood, Malabar Rosewood, Sitsal, Beete, Shisham)</t>
  </si>
  <si>
    <t>Dalbergia Latifolia</t>
  </si>
  <si>
    <t>East Indian rosewood, Malabar rosewood, sitsal, beete, shisham</t>
  </si>
  <si>
    <t>Leucaena leucocephala</t>
  </si>
  <si>
    <r>
      <t>30-40</t>
    </r>
    <r>
      <rPr>
        <vertAlign val="superscript"/>
        <sz val="10"/>
        <rFont val="Arial"/>
        <family val="2"/>
      </rPr>
      <t>h</t>
    </r>
  </si>
  <si>
    <t>5-10h</t>
  </si>
  <si>
    <t>530-580</t>
  </si>
  <si>
    <t>pinus ponderosa</t>
  </si>
  <si>
    <t>Dalbergia Sissoo (Sissoo, Shisham, Karra, Shewa)</t>
  </si>
  <si>
    <t>Dalbergia Sissoo</t>
  </si>
  <si>
    <t>sissoo, shisham, karra, shewa</t>
  </si>
  <si>
    <t>Prosopis pallida</t>
  </si>
  <si>
    <t>platanus occidentalis</t>
  </si>
  <si>
    <t>Derris Indica (India: Pongam, Ponga, Kona, Kanji, Karanja, Karanda; English: Indian Beech)</t>
  </si>
  <si>
    <t>Derris Indica</t>
  </si>
  <si>
    <t>India: pongam, ponga, kona, kanji, karanja, karanda; English: Indian beech</t>
  </si>
  <si>
    <t>Rhizophora apiculata</t>
  </si>
  <si>
    <t>populus trichocarpa</t>
  </si>
  <si>
    <t>Diospyros Philippinensis (Kamagong (Philippines))</t>
  </si>
  <si>
    <t>Diospyros Philippinensis</t>
  </si>
  <si>
    <t>kamagong (Philippines)</t>
  </si>
  <si>
    <t>Rhizophora mucronata</t>
  </si>
  <si>
    <t>pseudotsuga menziesii</t>
  </si>
  <si>
    <t>Diospyros Philosanthera (Bolong-Eta (Philippines))</t>
  </si>
  <si>
    <t>Diospyros Philosanthera</t>
  </si>
  <si>
    <t>bolong-eta (Philippines)</t>
  </si>
  <si>
    <t>Schima noronhae</t>
  </si>
  <si>
    <t>5-12</t>
  </si>
  <si>
    <t>quercus bicolor</t>
  </si>
  <si>
    <t>Emblica Ofiicinalis (Madre De Cacao, Kakauati (Philippines), Mexican Lilac, Madera Negra)</t>
  </si>
  <si>
    <t>Emblica Ofiicinalis</t>
  </si>
  <si>
    <t>Madre de cacao, kakauati (Philippines), Mexican lilac, madera negra</t>
  </si>
  <si>
    <t>air dry</t>
  </si>
  <si>
    <t>Schleichera oleosa</t>
  </si>
  <si>
    <t xml:space="preserve">quercus rubra </t>
  </si>
  <si>
    <t>Eucalyptus Camaldulensis (Red River Gum, Red Gum)</t>
  </si>
  <si>
    <t>Eucalyptus Camaldulensis</t>
  </si>
  <si>
    <t>red river gum, red gum</t>
  </si>
  <si>
    <t>Sesbania grandiflora</t>
  </si>
  <si>
    <r>
      <t>15-25</t>
    </r>
    <r>
      <rPr>
        <vertAlign val="superscript"/>
        <sz val="10"/>
        <rFont val="Arial"/>
        <family val="2"/>
      </rPr>
      <t>i</t>
    </r>
  </si>
  <si>
    <t>3-7i</t>
  </si>
  <si>
    <t>thuja plicata</t>
  </si>
  <si>
    <t>Eucalyptus Deglupta (Rainbow Gum Tree)</t>
  </si>
  <si>
    <t>Eucalyptus Deglupta</t>
  </si>
  <si>
    <t>rainbow gum tree</t>
  </si>
  <si>
    <t>Swietenia Macrophylla</t>
  </si>
  <si>
    <t>tsuga canadensis</t>
  </si>
  <si>
    <t>Eucalyptus Globulus (Southern Blue Gum, Fever Tree)</t>
  </si>
  <si>
    <t>Eucalyptus Globulus</t>
  </si>
  <si>
    <t>southern blue gum, fever tree</t>
  </si>
  <si>
    <t>Syzygium cumini</t>
  </si>
  <si>
    <t>tsuga heterophylla</t>
  </si>
  <si>
    <t>Eucalyptus Grandis (Rose Gum, Grand Eucalyptus)</t>
  </si>
  <si>
    <t>Eucalyptus Grandis</t>
  </si>
  <si>
    <t>rose gum, grand eucalyptus</t>
  </si>
  <si>
    <t>Xylocarpus granatum</t>
  </si>
  <si>
    <t>ulmus spp</t>
  </si>
  <si>
    <t>Fagus Spp (Beech)</t>
  </si>
  <si>
    <t>Fagus Spp</t>
  </si>
  <si>
    <t>Xylocarpus moluccensis</t>
  </si>
  <si>
    <t>Gigantochloa Apus (Pring Tali, Tabasheer Bamboo)</t>
  </si>
  <si>
    <t>Gigantochloa Apus</t>
  </si>
  <si>
    <t>pring tali, tabasheer bamboo</t>
  </si>
  <si>
    <t>Zizyphus talanai</t>
  </si>
  <si>
    <t>cacahuananche, madre de cacao</t>
  </si>
  <si>
    <t>Gmelina Arborea (Gmelina, Gumhar (India))</t>
  </si>
  <si>
    <t>Gmelina Arborea</t>
  </si>
  <si>
    <t>gmelina, gumhar (India)</t>
  </si>
  <si>
    <t>Sources: Adapted from the University of Philippines (1981) and NAS (1980).</t>
  </si>
  <si>
    <t>Lagerstroemia Speciosa (Queen's Crape Myrtle, Giant Crape Myrtle)</t>
  </si>
  <si>
    <t>Lagerstroemia Speciosa</t>
  </si>
  <si>
    <t>queen's crape myrtle, giant crape myrtle</t>
  </si>
  <si>
    <t>Notes:</t>
  </si>
  <si>
    <t>Leucaena Leucocephala (Leucaena, Ipil-Ipil (Philippines), Uaxin (Latin America), Lamtora (Indonesia), Lead Tree)</t>
  </si>
  <si>
    <t>Leucaena Leucocephala</t>
  </si>
  <si>
    <t>leucaena, ipil-ipil (Philippines), uaxin (Latin America), lamtora (Indonesia), lead tree</t>
  </si>
  <si>
    <t>Characteristics are presented for more than 60 trees or palms that have been or may be used as energy</t>
  </si>
  <si>
    <t>Melia Azedarach (China Berry, Persian Lilac, Bead Tree, Cape Lilac)</t>
  </si>
  <si>
    <t>Melia Azedarach</t>
  </si>
  <si>
    <t>China berry, Persian lilac, bead tree, cape lilac</t>
  </si>
  <si>
    <t>sources. However, many species also have alternative or better uses, such as timber. The values in the table</t>
  </si>
  <si>
    <t>Pinus Elliotii (Southern Pine)</t>
  </si>
  <si>
    <t>Pinus Elliotii</t>
  </si>
  <si>
    <t>above are not always comparable; since data come from a variety of studies, uniformity of measurements and</t>
  </si>
  <si>
    <t>Pinus Ponderosa (Ponderosa Pine)</t>
  </si>
  <si>
    <t>Pinus Ponderosa</t>
  </si>
  <si>
    <t>consistency of definitions cannot be assured. Some data are based on small species trials, making these date</t>
  </si>
  <si>
    <t>Pithecellobium Dulce (Quamachil, Guamuchil (Mexico), Manila Tamarind)</t>
  </si>
  <si>
    <t>Pithecellobium Dulce</t>
  </si>
  <si>
    <t>quamachil, guamuchil (Mexico), Manila tamarind</t>
  </si>
  <si>
    <t>only instructive, not definitive. Great care needs to be taken, especially with air-dry density and calorific value</t>
  </si>
  <si>
    <t>Platanus Occidentalis (Sycamore)</t>
  </si>
  <si>
    <t>Platanus Occidentalis</t>
  </si>
  <si>
    <t>estimates. Unfortunately, the moisture content for the air-dry weight was usually not given in most research.</t>
  </si>
  <si>
    <t>Populus Euphratica (Euphrates Poplar, Saf-Saf, Indian Poplar)</t>
  </si>
  <si>
    <t>Populus Euphratica</t>
  </si>
  <si>
    <t>Euphrates poplar, saf-saf, Indian poplar</t>
  </si>
  <si>
    <t>Calorific values generally are assumed to be high heat values-oven-dry energy contents. Rounding errors and</t>
  </si>
  <si>
    <t>Populus Trichocarpa (Black Cottonwood)</t>
  </si>
  <si>
    <t>Populus Trichocarpa</t>
  </si>
  <si>
    <t>varying measurement conditions, however, make the data on HHV suggestive at best. These problems may not</t>
  </si>
  <si>
    <t>Prosopis Cineraria (Jand, Khejri (India))</t>
  </si>
  <si>
    <t>Prosopis Cineraria</t>
  </si>
  <si>
    <t>jand, khejri (India)</t>
  </si>
  <si>
    <t>be too critical to rough estimates since energy contents do not vary widely among most species. An average</t>
  </si>
  <si>
    <t>Prosopis Pallida (Kiawe)</t>
  </si>
  <si>
    <t>Prosopis Pallida</t>
  </si>
  <si>
    <t xml:space="preserve">kiawe </t>
  </si>
  <si>
    <t>wood value often used is 15 MJ/kg at 15 percent mcwb, or 13 MJ/kg at 25 percent mcwb. The table does not</t>
  </si>
  <si>
    <t>Pseudotsuga Menziesii (Douglas Fir)</t>
  </si>
  <si>
    <t>Pseudotsuga Menziesii</t>
  </si>
  <si>
    <t>mean to suggest that every species be used as fuelwood; it merely gives particular characteristics.</t>
  </si>
  <si>
    <t>Psidium Guajava  (Guava, Guayaba)</t>
  </si>
  <si>
    <t xml:space="preserve">Psidium Guajava </t>
  </si>
  <si>
    <t>guava, guayaba</t>
  </si>
  <si>
    <t>a Regeneration code: C means tree can be coppiced; S means that regeneration is primarily from seeds or</t>
  </si>
  <si>
    <t>Quercus Bicolor (White Oak)</t>
  </si>
  <si>
    <t>Quercus Bicolor</t>
  </si>
  <si>
    <t>plantings.</t>
  </si>
  <si>
    <t>Quercus Rubra  (Red Oak)</t>
  </si>
  <si>
    <t xml:space="preserve">Quercus Rubra </t>
  </si>
  <si>
    <t>b Nitrogen-fixing code: Y means that the plant has the ability to fix nitrogen and thereby will enrich the soil; N</t>
  </si>
  <si>
    <r>
      <t xml:space="preserve">Rhizophera Spp (Mangrove Spp (Also </t>
    </r>
    <r>
      <rPr>
        <i/>
        <sz val="10"/>
        <rFont val="Arial"/>
        <family val="2"/>
      </rPr>
      <t>Avicennia Spp</t>
    </r>
    <r>
      <rPr>
        <sz val="10"/>
        <rFont val="Arial"/>
        <family val="2"/>
      </rPr>
      <t>))</t>
    </r>
  </si>
  <si>
    <t>Rhizophera Spp</t>
  </si>
  <si>
    <r>
      <t xml:space="preserve">mangrove spp (also </t>
    </r>
    <r>
      <rPr>
        <i/>
        <sz val="10"/>
        <rFont val="Arial"/>
        <family val="2"/>
      </rPr>
      <t>avicennia spp</t>
    </r>
    <r>
      <rPr>
        <sz val="10"/>
        <rFont val="Arial"/>
        <family val="2"/>
      </rPr>
      <t>)</t>
    </r>
  </si>
  <si>
    <t>means that the plant does not fix nitrogen.</t>
  </si>
  <si>
    <t>Sapium Sebiferum (Chinese Tallow Tree, Soap Tree, Tarchabi (Pahari) Shishum (India))</t>
  </si>
  <si>
    <t>Sapium Sebiferum</t>
  </si>
  <si>
    <t>Chinese tallow tree, soap tree, tarchabi (pahari) shishum (India)</t>
  </si>
  <si>
    <t>c Use priority provides a hierarchy of uses for the plant, with P indicating pulpwood, T timber, and F fuelwood.</t>
  </si>
  <si>
    <t>Schima Noronhae</t>
  </si>
  <si>
    <t>The typical ranking of use priority is indicated by the order of the symbols, although priority may change among</t>
  </si>
  <si>
    <t>Schleichera Oleosa (Kosambi (Indonesia), Lac Tree)</t>
  </si>
  <si>
    <t>Schleichera Oleosa</t>
  </si>
  <si>
    <t>kosambi (Indonesia), lac tree</t>
  </si>
  <si>
    <t>different users.</t>
  </si>
  <si>
    <t>Sesbania Grandiflora (Scarlet Wisteria Tree, Agati, Corkwood Tree, West Indian Pea)</t>
  </si>
  <si>
    <t>Sesbania Grandiflora</t>
  </si>
  <si>
    <t>scarlet wisteria tree, agati, corkwood tree, West Indian pea</t>
  </si>
  <si>
    <t>d HHVs may vary by 10-20 percent.</t>
  </si>
  <si>
    <t>Swietenia Macrophylla (Brazilian Mahogany, Caoba, Honduras Mahogany, Big Leaf Mahogany)</t>
  </si>
  <si>
    <t>Brazilian mahogany, caoba, Honduras mahogany, bigleaf mahogany</t>
  </si>
  <si>
    <t>e Average yields often increase to 30-65 m3/ha.yr after the first cutting at six months to a year.</t>
  </si>
  <si>
    <t>Syzygium Cumini (Jambolan, Java Plum)</t>
  </si>
  <si>
    <t>Syzygium Cumini</t>
  </si>
  <si>
    <t>jambolan, Java plum</t>
  </si>
  <si>
    <t>f Values are given for good sites; poor, dry sites average 2-11 m3/ha on a 10-14 year rotation.</t>
  </si>
  <si>
    <t>Thuja Plicata (Western Red Cedar)</t>
  </si>
  <si>
    <t>Thuja Plicata</t>
  </si>
  <si>
    <t>g Also known as Gliricidia maculata.</t>
  </si>
  <si>
    <t>Trema Spp</t>
  </si>
  <si>
    <t>h Well-managed plantations of giant L. leucocephala report 50-100 m3/ha.yr on a 3-5 year rotation.</t>
  </si>
  <si>
    <t>Tsuga Canadensis (Eastern Hemlock)</t>
  </si>
  <si>
    <t>Tsuga Canadensis</t>
  </si>
  <si>
    <t>i Data for well-managed plantations.</t>
  </si>
  <si>
    <t>Tsuga Heterophylla (Western Hemlock)</t>
  </si>
  <si>
    <t>Tsuga Heterophylla</t>
  </si>
  <si>
    <t>Ulmus Spp (Elm)</t>
  </si>
  <si>
    <t>Ulmus Spp</t>
  </si>
  <si>
    <t>Xylocarpus Granatum (Cannonball Mangrove, Cedar Mangrove)</t>
  </si>
  <si>
    <t>Xylocarpus Granatum</t>
  </si>
  <si>
    <t>cannonball mangrove, cedar mangrove</t>
  </si>
  <si>
    <t>Xylocarpus Moluccensis (Cedar Mangrove)</t>
  </si>
  <si>
    <t>Xylocarpus Moluccensis</t>
  </si>
  <si>
    <t>cedar mangrove</t>
  </si>
  <si>
    <t>Gfiricidia sepiumg</t>
  </si>
  <si>
    <t>Zizyphus Mauritania (Indian Jujube, Indian Plum)</t>
  </si>
  <si>
    <t>Zizyphus Mauritania</t>
  </si>
  <si>
    <t>Indian jujube, Indian plum</t>
  </si>
  <si>
    <t>Zizyphus Talanai</t>
  </si>
  <si>
    <t>Statistical Summary</t>
  </si>
  <si>
    <t>Minimum</t>
  </si>
  <si>
    <t>Sources</t>
  </si>
  <si>
    <t>Maximum</t>
  </si>
  <si>
    <t>standard Deviation</t>
  </si>
  <si>
    <t>Percentiles: 25th</t>
  </si>
  <si>
    <t>50th</t>
  </si>
  <si>
    <t>75th</t>
  </si>
  <si>
    <t>NAS (1980). Firewood Crops. Washington DC, National Academy of Sciences.</t>
  </si>
  <si>
    <t>Cheremisinoff, N. (1980). Properties of Wood. Wood for Energy Production. Ann Arbor, MI, Ann Arbor Science: 31-43.</t>
  </si>
  <si>
    <t>Harker, A. P., A. Sandels, et al. (1982). Calorific values for wood and bark and a bibliography for fuelwood. London, Tropical Products Institute: 20.</t>
  </si>
  <si>
    <t>FAO (1993). Energy and Environment Basics. Bangkok, Regional Wood Energy Development Program (RWEDP): 85.</t>
  </si>
  <si>
    <t>Cold Start</t>
  </si>
  <si>
    <t>Hot Start</t>
  </si>
  <si>
    <t>Simmer</t>
  </si>
  <si>
    <t>End</t>
  </si>
  <si>
    <t>Time</t>
  </si>
  <si>
    <t>Water Temperature, Pot 1</t>
  </si>
  <si>
    <t>Water Temperature, Pot 2</t>
  </si>
  <si>
    <t>Water Temperature, Pot 3</t>
  </si>
  <si>
    <t>Water Temperature, Pot 4</t>
  </si>
  <si>
    <t>Weight of Pot 1 with water</t>
  </si>
  <si>
    <t>Weight of Pot 2 with water</t>
  </si>
  <si>
    <t>Weight of Pot 3 with water</t>
  </si>
  <si>
    <t>Weight of Pot 4 with water</t>
  </si>
  <si>
    <t>Fire Starting Materials</t>
  </si>
  <si>
    <t>Name of Tester(s)</t>
  </si>
  <si>
    <t>Manufactured by</t>
  </si>
  <si>
    <t>Stove Type/Model</t>
  </si>
  <si>
    <t>Test Location</t>
  </si>
  <si>
    <t>Test Number or Code</t>
  </si>
  <si>
    <t>Description and Notes</t>
  </si>
  <si>
    <t>Air temperature</t>
  </si>
  <si>
    <t xml:space="preserve">Local boiling point (C) </t>
  </si>
  <si>
    <t>Air relative humidity (%)</t>
  </si>
  <si>
    <t>Ambient conditions</t>
  </si>
  <si>
    <t>Test &amp; stove description</t>
  </si>
  <si>
    <t>Fuel description</t>
  </si>
  <si>
    <t>Your general description</t>
  </si>
  <si>
    <t>Manufactured</t>
  </si>
  <si>
    <t>Cut to size</t>
  </si>
  <si>
    <t>Natural</t>
  </si>
  <si>
    <t>Liquid</t>
  </si>
  <si>
    <t>Briquettes</t>
  </si>
  <si>
    <t>Gel</t>
  </si>
  <si>
    <t>Fuel type</t>
  </si>
  <si>
    <t>Time (in 24 hour form)</t>
  </si>
  <si>
    <t>Check box if you have a measured calorific value</t>
  </si>
  <si>
    <t>Average length (cm)</t>
  </si>
  <si>
    <t>Cross-sectional dimensions (cm x cm)</t>
  </si>
  <si>
    <t>HHV,kJ/kg</t>
  </si>
  <si>
    <t>LHV,kJ/kg</t>
  </si>
  <si>
    <t>Wind conditions</t>
  </si>
  <si>
    <t>HHV, kJ/kg</t>
  </si>
  <si>
    <t>notes</t>
  </si>
  <si>
    <t>Measured gross calorific value</t>
  </si>
  <si>
    <t>Assumed net calorific value</t>
  </si>
  <si>
    <t>LHV, kJ/kg</t>
  </si>
  <si>
    <t>Gross calorific value</t>
  </si>
  <si>
    <t>Net calorific value</t>
  </si>
  <si>
    <t>HHV measured, kJ/kg</t>
  </si>
  <si>
    <t>If possible, enter a calorific value from measurements of local fuel below.</t>
  </si>
  <si>
    <t>Values to be used for tests</t>
  </si>
  <si>
    <t>Default values (looked up)</t>
  </si>
  <si>
    <t>Measured net calorific value</t>
  </si>
  <si>
    <t>Char, kJ/kg</t>
  </si>
  <si>
    <t>Char calorific value</t>
  </si>
  <si>
    <t>Notes about this test:</t>
  </si>
  <si>
    <t>How is fire started?</t>
  </si>
  <si>
    <t>Description of firestarter (e.g. paper, fluid) and small wood or kindling</t>
  </si>
  <si>
    <t>When do you add new fuel to the fire?</t>
  </si>
  <si>
    <t>How much fuel do you add at one time?</t>
  </si>
  <si>
    <t>Description of operation during the high-power test</t>
  </si>
  <si>
    <t>How often do you feed the fire without adding fuel (e.g. push sticks)?</t>
  </si>
  <si>
    <t>Description of operation during the simmering test</t>
  </si>
  <si>
    <t>Do you control the air above or below the fire? 
If so, what do you do?</t>
  </si>
  <si>
    <t>(note: Kindling should be weighed and reported with wood)</t>
  </si>
  <si>
    <t>Notes on the High Power - Cold Start Test. Add description only if it differs from "General Information" sheet</t>
  </si>
  <si>
    <t>DATA AND CALCULATION FORM (for one to four pots)*</t>
  </si>
  <si>
    <t xml:space="preserve">Shaded cells and arrows require user input; unshaded cells automatically display outputs </t>
  </si>
  <si>
    <t>If you are determining fuel moisture with the Delmhorst J-2000 or similar handheld moisture meter, take 3 pieces of fuel at random from the stock used for each test and measure each in three places along its length.  Enter the results in the gray spaces below.  The worksheet will automatically calculate average moisture content on a dry and wet basis.</t>
  </si>
  <si>
    <t>Ambient temperature</t>
  </si>
  <si>
    <t>TEST #</t>
  </si>
  <si>
    <t>All cells are linked to data worksheets, no entries are required</t>
  </si>
  <si>
    <t>These values are not linked to the Test sheets. This sheet is provided so you can print an easy data entry form. You will have to enter these values in each Test sheet to obtain the calculations.</t>
  </si>
  <si>
    <t>Method used to obtain wood moisture:</t>
  </si>
  <si>
    <t>version#</t>
  </si>
  <si>
    <t>Air Temperature</t>
  </si>
  <si>
    <t>Name of Testers</t>
  </si>
  <si>
    <t>Fuel Dimensions</t>
  </si>
  <si>
    <t>Fuel Type</t>
  </si>
  <si>
    <t>Notes</t>
  </si>
  <si>
    <t>Dry Weight Pot 1</t>
  </si>
  <si>
    <t>Dry Weight Pot 2</t>
  </si>
  <si>
    <t>Dry Weight Pot 3</t>
  </si>
  <si>
    <t>Dry Weight Pot 4</t>
  </si>
  <si>
    <t>Weight Container for Char</t>
  </si>
  <si>
    <t>Wind Conditions</t>
  </si>
  <si>
    <t>Moisture Content (wet basis)</t>
  </si>
  <si>
    <t>Local Boiling Point *</t>
  </si>
  <si>
    <t>* enter on General Information</t>
  </si>
  <si>
    <t>If you are using another means to determine fuel moisture, ignore this worksheet and enter the moisture in the proper space on each Test's data form.</t>
  </si>
  <si>
    <t>Fuel dimensions</t>
  </si>
  <si>
    <t>Water Boiling Test - Test Entry Form</t>
  </si>
  <si>
    <t>Ethanol</t>
  </si>
  <si>
    <t>Methanol</t>
  </si>
  <si>
    <t>Notes or description about stove or operation not included elsewhere on this form</t>
  </si>
  <si>
    <t>Emission testing</t>
  </si>
  <si>
    <t>Pitot delta-P</t>
  </si>
  <si>
    <t>Hood flow rate (m3/hr)</t>
  </si>
  <si>
    <t>Background concentrations: CO2</t>
  </si>
  <si>
    <t>ppm</t>
  </si>
  <si>
    <t xml:space="preserve">   (accounting for fuel moisture)</t>
  </si>
  <si>
    <t xml:space="preserve">Effective calorific value </t>
  </si>
  <si>
    <t xml:space="preserve">     CO</t>
  </si>
  <si>
    <t xml:space="preserve">     PM</t>
  </si>
  <si>
    <t>CO2,b</t>
  </si>
  <si>
    <t>CO,b</t>
  </si>
  <si>
    <t>PM,b</t>
  </si>
  <si>
    <t>Average PM</t>
  </si>
  <si>
    <t>ug/m3</t>
  </si>
  <si>
    <t>Average CO2</t>
  </si>
  <si>
    <t>Average CO</t>
  </si>
  <si>
    <r>
      <t>CO2</t>
    </r>
    <r>
      <rPr>
        <vertAlign val="subscript"/>
        <sz val="9"/>
        <rFont val="Arial"/>
        <family val="2"/>
      </rPr>
      <t>c</t>
    </r>
  </si>
  <si>
    <r>
      <t>CO</t>
    </r>
    <r>
      <rPr>
        <vertAlign val="subscript"/>
        <sz val="9"/>
        <rFont val="Arial"/>
        <family val="2"/>
      </rPr>
      <t>c</t>
    </r>
  </si>
  <si>
    <r>
      <t>PM</t>
    </r>
    <r>
      <rPr>
        <vertAlign val="subscript"/>
        <sz val="9"/>
        <rFont val="Arial"/>
        <family val="2"/>
      </rPr>
      <t>c</t>
    </r>
  </si>
  <si>
    <r>
      <t>CO2</t>
    </r>
    <r>
      <rPr>
        <vertAlign val="subscript"/>
        <sz val="9"/>
        <rFont val="Arial"/>
        <family val="2"/>
      </rPr>
      <t>h</t>
    </r>
  </si>
  <si>
    <r>
      <t>CO</t>
    </r>
    <r>
      <rPr>
        <vertAlign val="subscript"/>
        <sz val="9"/>
        <rFont val="Arial"/>
        <family val="2"/>
      </rPr>
      <t>h</t>
    </r>
  </si>
  <si>
    <r>
      <t>PM</t>
    </r>
    <r>
      <rPr>
        <vertAlign val="subscript"/>
        <sz val="9"/>
        <rFont val="Arial"/>
        <family val="2"/>
      </rPr>
      <t>h</t>
    </r>
  </si>
  <si>
    <r>
      <t>CO2</t>
    </r>
    <r>
      <rPr>
        <vertAlign val="subscript"/>
        <sz val="9"/>
        <rFont val="Arial"/>
        <family val="2"/>
      </rPr>
      <t>s</t>
    </r>
  </si>
  <si>
    <r>
      <t>CO</t>
    </r>
    <r>
      <rPr>
        <vertAlign val="subscript"/>
        <sz val="9"/>
        <rFont val="Arial"/>
        <family val="2"/>
      </rPr>
      <t>s</t>
    </r>
  </si>
  <si>
    <r>
      <t>PM</t>
    </r>
    <r>
      <rPr>
        <vertAlign val="subscript"/>
        <sz val="9"/>
        <rFont val="Arial"/>
        <family val="2"/>
      </rPr>
      <t>s</t>
    </r>
  </si>
  <si>
    <t>Notes on the High Power - Hot Start Test</t>
  </si>
  <si>
    <t>Notes on the Low Power - Simmer Test</t>
  </si>
  <si>
    <t>Emission Report</t>
  </si>
  <si>
    <t>Total exhaust flow</t>
  </si>
  <si>
    <t>m3</t>
  </si>
  <si>
    <t>Total carbon in exhaust</t>
  </si>
  <si>
    <t>g/m3</t>
  </si>
  <si>
    <t xml:space="preserve">Mass emission factors </t>
  </si>
  <si>
    <t xml:space="preserve">   CO</t>
  </si>
  <si>
    <t xml:space="preserve">   PM</t>
  </si>
  <si>
    <t xml:space="preserve">   CO2</t>
  </si>
  <si>
    <t>Emission per water boiled</t>
  </si>
  <si>
    <t>Exhaust carbon concentration</t>
  </si>
  <si>
    <t xml:space="preserve">Fuel moisture content (wet basis) </t>
  </si>
  <si>
    <t>Fuel carbon content</t>
  </si>
  <si>
    <t>by mass</t>
  </si>
  <si>
    <t>Emission benchmarks:</t>
  </si>
  <si>
    <t xml:space="preserve">   CO to Complete 5L WBT</t>
  </si>
  <si>
    <t xml:space="preserve">   PM to Complete 5L WBT</t>
  </si>
  <si>
    <t>g/kgf</t>
  </si>
  <si>
    <t>Carbon Monoxide Benchmark Value</t>
  </si>
  <si>
    <t>Particulate Matter Benchmark Value</t>
  </si>
  <si>
    <t>Hood carbon balance</t>
  </si>
  <si>
    <t>Mass Frac C</t>
  </si>
  <si>
    <t>Average CO2 (ppm)</t>
  </si>
  <si>
    <t>Average CO (ppm)</t>
  </si>
  <si>
    <t>Average PM (ug/m3)</t>
  </si>
  <si>
    <t>Atmospheric P (kPa)</t>
  </si>
  <si>
    <t>Background CO2 (ppm)**</t>
  </si>
  <si>
    <t>Background CO (ppm)**</t>
  </si>
  <si>
    <t>Background PM (ug/m3)**</t>
  </si>
  <si>
    <t>** For emission testing only</t>
  </si>
  <si>
    <t>gray: efficiency</t>
  </si>
  <si>
    <t>High Power Thermal Efficiency</t>
    <phoneticPr fontId="4" type="noConversion"/>
  </si>
  <si>
    <t>Low Power Specific Fuel Consumption</t>
    <phoneticPr fontId="4" type="noConversion"/>
  </si>
  <si>
    <t>g/MJ</t>
    <phoneticPr fontId="4" type="noConversion"/>
  </si>
  <si>
    <t>g</t>
    <phoneticPr fontId="4" type="noConversion"/>
  </si>
  <si>
    <t>%</t>
    <phoneticPr fontId="4" type="noConversion"/>
  </si>
  <si>
    <r>
      <t>g/(min</t>
    </r>
    <r>
      <rPr>
        <sz val="10"/>
        <rFont val="ＭＳ Ｐゴシック"/>
        <family val="3"/>
        <charset val="128"/>
      </rPr>
      <t>∙</t>
    </r>
    <r>
      <rPr>
        <sz val="10"/>
        <rFont val="Arial"/>
        <family val="2"/>
      </rPr>
      <t>L)</t>
    </r>
    <phoneticPr fontId="4" type="noConversion"/>
  </si>
  <si>
    <t>mg/MJ</t>
    <phoneticPr fontId="4" type="noConversion"/>
  </si>
  <si>
    <r>
      <t>MJ/(min</t>
    </r>
    <r>
      <rPr>
        <sz val="10"/>
        <rFont val="ＭＳ Ｐゴシック"/>
        <family val="3"/>
        <charset val="128"/>
      </rPr>
      <t>∙</t>
    </r>
    <r>
      <rPr>
        <sz val="10"/>
        <rFont val="Arial"/>
        <family val="2"/>
      </rPr>
      <t>L)</t>
    </r>
    <phoneticPr fontId="4" type="noConversion"/>
  </si>
  <si>
    <r>
      <t>mg/(min</t>
    </r>
    <r>
      <rPr>
        <sz val="10"/>
        <rFont val="ＭＳ Ｐゴシック"/>
        <family val="3"/>
        <charset val="128"/>
      </rPr>
      <t>∙</t>
    </r>
    <r>
      <rPr>
        <sz val="10"/>
        <rFont val="Arial"/>
        <family val="2"/>
      </rPr>
      <t>L)</t>
    </r>
    <phoneticPr fontId="4" type="noConversion"/>
  </si>
  <si>
    <t>g/liter remaining</t>
  </si>
  <si>
    <t>g/liter boiled</t>
  </si>
  <si>
    <t>Tier 0</t>
  </si>
  <si>
    <t>Tier 1</t>
  </si>
  <si>
    <t>Tier 2</t>
  </si>
  <si>
    <t>Tier 3</t>
  </si>
  <si>
    <t>Tier 4</t>
  </si>
  <si>
    <t>High Power Thermal Efficiency</t>
  </si>
  <si>
    <t>Low Power Specific Consumption</t>
  </si>
  <si>
    <t>MJ/min/L</t>
  </si>
  <si>
    <t>High Power CO</t>
  </si>
  <si>
    <t>g/MJd</t>
  </si>
  <si>
    <t>Low Power CO</t>
  </si>
  <si>
    <t>g/min/L</t>
  </si>
  <si>
    <t>High Power PM</t>
  </si>
  <si>
    <t>mg/MJd</t>
  </si>
  <si>
    <t>Low Power PM</t>
  </si>
  <si>
    <t>mg/min/L</t>
  </si>
  <si>
    <t>Indoor Emissions CO</t>
  </si>
  <si>
    <t>Indoor Emissions PM</t>
  </si>
  <si>
    <t>mg/min</t>
  </si>
  <si>
    <t>Safety</t>
  </si>
  <si>
    <t>Tier</t>
  </si>
  <si>
    <t xml:space="preserve">   IWA PERFORMANCE METRICS</t>
  </si>
  <si>
    <t xml:space="preserve">   IWA PERFORMANCE TIERS</t>
  </si>
  <si>
    <r>
      <t>MJ/(min</t>
    </r>
    <r>
      <rPr>
        <sz val="9"/>
        <rFont val="ＭＳ Ｐゴシック"/>
        <family val="3"/>
        <charset val="128"/>
      </rPr>
      <t>∙</t>
    </r>
    <r>
      <rPr>
        <sz val="9"/>
        <rFont val="Arial"/>
        <family val="2"/>
      </rPr>
      <t>L)</t>
    </r>
  </si>
  <si>
    <r>
      <t>g/(min</t>
    </r>
    <r>
      <rPr>
        <sz val="9"/>
        <rFont val="ＭＳ Ｐゴシック"/>
        <family val="3"/>
        <charset val="128"/>
      </rPr>
      <t>∙</t>
    </r>
    <r>
      <rPr>
        <sz val="9"/>
        <rFont val="Arial"/>
        <family val="2"/>
      </rPr>
      <t>L)</t>
    </r>
  </si>
  <si>
    <r>
      <t>mg/(min</t>
    </r>
    <r>
      <rPr>
        <sz val="9"/>
        <rFont val="ＭＳ Ｐゴシック"/>
        <family val="3"/>
        <charset val="128"/>
      </rPr>
      <t>∙</t>
    </r>
    <r>
      <rPr>
        <sz val="9"/>
        <rFont val="Arial"/>
        <family val="2"/>
      </rPr>
      <t>L)</t>
    </r>
  </si>
  <si>
    <t>Weight of Fuel</t>
  </si>
  <si>
    <t>Weight of fuel</t>
  </si>
  <si>
    <t>Fuel consumed (moist)</t>
  </si>
  <si>
    <t>Equivalent dry fuel consumed</t>
  </si>
  <si>
    <t>Fuel consumed during the simmer phase (moist)</t>
  </si>
  <si>
    <t>Fuel consumed est. (dry)</t>
  </si>
  <si>
    <t>Indoor PM Emissions</t>
  </si>
  <si>
    <t>Indoor CO Emissions</t>
  </si>
  <si>
    <t>≤</t>
  </si>
  <si>
    <t>&gt;</t>
  </si>
  <si>
    <t>&lt;</t>
  </si>
  <si>
    <t>≥</t>
  </si>
  <si>
    <r>
      <t>V</t>
    </r>
    <r>
      <rPr>
        <vertAlign val="subscript"/>
        <sz val="11"/>
        <rFont val="Calibri"/>
        <family val="2"/>
      </rPr>
      <t>c</t>
    </r>
  </si>
  <si>
    <r>
      <t>V</t>
    </r>
    <r>
      <rPr>
        <vertAlign val="subscript"/>
        <sz val="11"/>
        <rFont val="Calibri"/>
        <family val="2"/>
      </rPr>
      <t>h</t>
    </r>
  </si>
  <si>
    <r>
      <t>V</t>
    </r>
    <r>
      <rPr>
        <vertAlign val="subscript"/>
        <sz val="11"/>
        <rFont val="Calibri"/>
        <family val="2"/>
      </rPr>
      <t>s</t>
    </r>
  </si>
  <si>
    <r>
      <t>CC</t>
    </r>
    <r>
      <rPr>
        <vertAlign val="subscript"/>
        <sz val="11"/>
        <rFont val="Calibri"/>
        <family val="2"/>
      </rPr>
      <t>c</t>
    </r>
  </si>
  <si>
    <r>
      <t>CC</t>
    </r>
    <r>
      <rPr>
        <vertAlign val="subscript"/>
        <sz val="11"/>
        <rFont val="Calibri"/>
        <family val="2"/>
      </rPr>
      <t>h</t>
    </r>
  </si>
  <si>
    <r>
      <t>CC</t>
    </r>
    <r>
      <rPr>
        <vertAlign val="subscript"/>
        <sz val="11"/>
        <rFont val="Calibri"/>
        <family val="2"/>
      </rPr>
      <t>s</t>
    </r>
  </si>
  <si>
    <r>
      <t>C</t>
    </r>
    <r>
      <rPr>
        <vertAlign val="subscript"/>
        <sz val="11"/>
        <rFont val="Calibri"/>
        <family val="2"/>
      </rPr>
      <t>c</t>
    </r>
  </si>
  <si>
    <r>
      <t>C</t>
    </r>
    <r>
      <rPr>
        <vertAlign val="subscript"/>
        <sz val="11"/>
        <rFont val="Calibri"/>
        <family val="2"/>
      </rPr>
      <t>h</t>
    </r>
  </si>
  <si>
    <r>
      <t>C</t>
    </r>
    <r>
      <rPr>
        <vertAlign val="subscript"/>
        <sz val="11"/>
        <rFont val="Calibri"/>
        <family val="2"/>
      </rPr>
      <t>s</t>
    </r>
  </si>
  <si>
    <r>
      <t>f</t>
    </r>
    <r>
      <rPr>
        <vertAlign val="subscript"/>
        <sz val="11"/>
        <rFont val="Calibri"/>
        <family val="2"/>
      </rPr>
      <t>ce</t>
    </r>
  </si>
  <si>
    <r>
      <t>f</t>
    </r>
    <r>
      <rPr>
        <vertAlign val="subscript"/>
        <sz val="11"/>
        <rFont val="Calibri"/>
        <family val="2"/>
      </rPr>
      <t>he</t>
    </r>
  </si>
  <si>
    <r>
      <t>f</t>
    </r>
    <r>
      <rPr>
        <vertAlign val="subscript"/>
        <sz val="11"/>
        <rFont val="Calibri"/>
        <family val="2"/>
      </rPr>
      <t>se</t>
    </r>
  </si>
  <si>
    <r>
      <t>CB</t>
    </r>
    <r>
      <rPr>
        <vertAlign val="subscript"/>
        <sz val="11"/>
        <rFont val="Calibri"/>
        <family val="2"/>
      </rPr>
      <t>c</t>
    </r>
  </si>
  <si>
    <r>
      <t>CB</t>
    </r>
    <r>
      <rPr>
        <vertAlign val="subscript"/>
        <sz val="11"/>
        <rFont val="Calibri"/>
        <family val="2"/>
      </rPr>
      <t>h</t>
    </r>
  </si>
  <si>
    <r>
      <t>CB</t>
    </r>
    <r>
      <rPr>
        <vertAlign val="subscript"/>
        <sz val="11"/>
        <rFont val="Calibri"/>
        <family val="2"/>
      </rPr>
      <t>s</t>
    </r>
  </si>
  <si>
    <r>
      <t>EF</t>
    </r>
    <r>
      <rPr>
        <vertAlign val="subscript"/>
        <sz val="11"/>
        <rFont val="Calibri"/>
        <family val="2"/>
      </rPr>
      <t>CO,c</t>
    </r>
  </si>
  <si>
    <r>
      <t>EF</t>
    </r>
    <r>
      <rPr>
        <vertAlign val="subscript"/>
        <sz val="11"/>
        <rFont val="Calibri"/>
        <family val="2"/>
      </rPr>
      <t>CO,h</t>
    </r>
  </si>
  <si>
    <r>
      <t>EF</t>
    </r>
    <r>
      <rPr>
        <vertAlign val="subscript"/>
        <sz val="11"/>
        <rFont val="Calibri"/>
        <family val="2"/>
      </rPr>
      <t>CO,s</t>
    </r>
  </si>
  <si>
    <r>
      <t>EF</t>
    </r>
    <r>
      <rPr>
        <vertAlign val="subscript"/>
        <sz val="11"/>
        <rFont val="Calibri"/>
        <family val="2"/>
      </rPr>
      <t>CO2,c</t>
    </r>
  </si>
  <si>
    <r>
      <t>EF</t>
    </r>
    <r>
      <rPr>
        <vertAlign val="subscript"/>
        <sz val="11"/>
        <rFont val="Calibri"/>
        <family val="2"/>
      </rPr>
      <t>CO2,h</t>
    </r>
  </si>
  <si>
    <r>
      <t>EF</t>
    </r>
    <r>
      <rPr>
        <vertAlign val="subscript"/>
        <sz val="11"/>
        <rFont val="Calibri"/>
        <family val="2"/>
      </rPr>
      <t>CO2,s</t>
    </r>
  </si>
  <si>
    <r>
      <t>EF</t>
    </r>
    <r>
      <rPr>
        <vertAlign val="subscript"/>
        <sz val="11"/>
        <rFont val="Calibri"/>
        <family val="2"/>
      </rPr>
      <t>PM,c</t>
    </r>
  </si>
  <si>
    <r>
      <t>EF</t>
    </r>
    <r>
      <rPr>
        <vertAlign val="subscript"/>
        <sz val="11"/>
        <rFont val="Calibri"/>
        <family val="2"/>
      </rPr>
      <t>PM,h</t>
    </r>
  </si>
  <si>
    <r>
      <t>EF</t>
    </r>
    <r>
      <rPr>
        <vertAlign val="subscript"/>
        <sz val="11"/>
        <rFont val="Calibri"/>
        <family val="2"/>
      </rPr>
      <t>PM,s</t>
    </r>
  </si>
  <si>
    <r>
      <t>m</t>
    </r>
    <r>
      <rPr>
        <vertAlign val="subscript"/>
        <sz val="11"/>
        <rFont val="Calibri"/>
        <family val="2"/>
      </rPr>
      <t>PM,c</t>
    </r>
  </si>
  <si>
    <r>
      <t>m</t>
    </r>
    <r>
      <rPr>
        <vertAlign val="subscript"/>
        <sz val="11"/>
        <rFont val="Calibri"/>
        <family val="2"/>
      </rPr>
      <t>PM,h</t>
    </r>
  </si>
  <si>
    <r>
      <t>m</t>
    </r>
    <r>
      <rPr>
        <vertAlign val="subscript"/>
        <sz val="11"/>
        <rFont val="Calibri"/>
        <family val="2"/>
      </rPr>
      <t>PM,s</t>
    </r>
  </si>
  <si>
    <r>
      <t>m</t>
    </r>
    <r>
      <rPr>
        <vertAlign val="subscript"/>
        <sz val="11"/>
        <rFont val="Calibri"/>
        <family val="2"/>
      </rPr>
      <t>CO,c</t>
    </r>
  </si>
  <si>
    <r>
      <t>m</t>
    </r>
    <r>
      <rPr>
        <vertAlign val="subscript"/>
        <sz val="11"/>
        <rFont val="Calibri"/>
        <family val="2"/>
      </rPr>
      <t>CO,h</t>
    </r>
  </si>
  <si>
    <r>
      <t>m</t>
    </r>
    <r>
      <rPr>
        <vertAlign val="subscript"/>
        <sz val="11"/>
        <rFont val="Calibri"/>
        <family val="2"/>
      </rPr>
      <t>CO,s</t>
    </r>
  </si>
  <si>
    <r>
      <t>m</t>
    </r>
    <r>
      <rPr>
        <vertAlign val="subscript"/>
        <sz val="11"/>
        <rFont val="Calibri"/>
        <family val="2"/>
      </rPr>
      <t>CO2,c</t>
    </r>
  </si>
  <si>
    <r>
      <t>m</t>
    </r>
    <r>
      <rPr>
        <vertAlign val="subscript"/>
        <sz val="11"/>
        <rFont val="Calibri"/>
        <family val="2"/>
      </rPr>
      <t>CO2,h</t>
    </r>
  </si>
  <si>
    <r>
      <t>m</t>
    </r>
    <r>
      <rPr>
        <vertAlign val="subscript"/>
        <sz val="11"/>
        <rFont val="Calibri"/>
        <family val="2"/>
      </rPr>
      <t>CO2,s</t>
    </r>
  </si>
  <si>
    <t>BCO</t>
  </si>
  <si>
    <t>BPM</t>
  </si>
  <si>
    <r>
      <t>E</t>
    </r>
    <r>
      <rPr>
        <vertAlign val="subscript"/>
        <sz val="11"/>
        <rFont val="Calibri"/>
        <family val="2"/>
      </rPr>
      <t>CO2,c</t>
    </r>
  </si>
  <si>
    <r>
      <t>E</t>
    </r>
    <r>
      <rPr>
        <vertAlign val="subscript"/>
        <sz val="11"/>
        <rFont val="Calibri"/>
        <family val="2"/>
      </rPr>
      <t>CO2,h</t>
    </r>
  </si>
  <si>
    <r>
      <t>E</t>
    </r>
    <r>
      <rPr>
        <vertAlign val="subscript"/>
        <sz val="11"/>
        <rFont val="Calibri"/>
        <family val="2"/>
      </rPr>
      <t>CO2,s</t>
    </r>
  </si>
  <si>
    <r>
      <t>E</t>
    </r>
    <r>
      <rPr>
        <vertAlign val="subscript"/>
        <sz val="11"/>
        <rFont val="Calibri"/>
        <family val="2"/>
      </rPr>
      <t>CO,c</t>
    </r>
  </si>
  <si>
    <r>
      <t>E</t>
    </r>
    <r>
      <rPr>
        <vertAlign val="subscript"/>
        <sz val="11"/>
        <rFont val="Calibri"/>
        <family val="2"/>
      </rPr>
      <t>CO,h</t>
    </r>
  </si>
  <si>
    <r>
      <t>E</t>
    </r>
    <r>
      <rPr>
        <vertAlign val="subscript"/>
        <sz val="11"/>
        <rFont val="Calibri"/>
        <family val="2"/>
      </rPr>
      <t>CO,s</t>
    </r>
  </si>
  <si>
    <r>
      <t>E</t>
    </r>
    <r>
      <rPr>
        <vertAlign val="subscript"/>
        <sz val="11"/>
        <rFont val="Calibri"/>
        <family val="2"/>
      </rPr>
      <t>PM,c</t>
    </r>
  </si>
  <si>
    <r>
      <t>E</t>
    </r>
    <r>
      <rPr>
        <vertAlign val="subscript"/>
        <sz val="11"/>
        <rFont val="Calibri"/>
        <family val="2"/>
      </rPr>
      <t>PM,h</t>
    </r>
  </si>
  <si>
    <r>
      <t>E</t>
    </r>
    <r>
      <rPr>
        <vertAlign val="subscript"/>
        <sz val="11"/>
        <rFont val="Calibri"/>
        <family val="2"/>
      </rPr>
      <t>PM,s</t>
    </r>
  </si>
  <si>
    <t>EHV</t>
  </si>
  <si>
    <t>MC</t>
  </si>
  <si>
    <t>IWA VITA WBT Tiers</t>
  </si>
  <si>
    <t>Johnsons</t>
  </si>
  <si>
    <t>Char carbon content</t>
  </si>
  <si>
    <t>Schmer et al, 2007</t>
  </si>
  <si>
    <t>year</t>
  </si>
  <si>
    <t>source_link</t>
  </si>
  <si>
    <t>stove_description</t>
  </si>
  <si>
    <t>Cold start thermal efficiency</t>
  </si>
  <si>
    <t>Hot start thermal efficiency</t>
  </si>
  <si>
    <t>MJ/SA/day</t>
  </si>
  <si>
    <t>fuel description</t>
  </si>
  <si>
    <t>Lab</t>
  </si>
  <si>
    <t>NA = Not Applicable; IWA Performance Tiers are not reported if there are fewer than 3 tests conducted.</t>
  </si>
  <si>
    <t>Average Duct Temperature</t>
  </si>
  <si>
    <r>
      <t>T</t>
    </r>
    <r>
      <rPr>
        <vertAlign val="subscript"/>
        <sz val="9"/>
        <rFont val="Arial"/>
        <family val="2"/>
      </rPr>
      <t>cd</t>
    </r>
  </si>
  <si>
    <r>
      <t>T</t>
    </r>
    <r>
      <rPr>
        <vertAlign val="subscript"/>
        <sz val="9"/>
        <rFont val="Arial"/>
        <family val="2"/>
      </rPr>
      <t>hd</t>
    </r>
  </si>
  <si>
    <r>
      <t>T</t>
    </r>
    <r>
      <rPr>
        <vertAlign val="subscript"/>
        <sz val="9"/>
        <rFont val="Arial"/>
        <family val="2"/>
      </rPr>
      <t>sd</t>
    </r>
  </si>
  <si>
    <t>Total Emissions (carbon balance)</t>
  </si>
  <si>
    <t>Total Emissions (total capture)</t>
  </si>
  <si>
    <t>emissions calculations</t>
  </si>
  <si>
    <t>Carbon Balance</t>
  </si>
  <si>
    <t>Total Capture</t>
  </si>
  <si>
    <t xml:space="preserve">IWA PERFORMANCE METRICS </t>
  </si>
  <si>
    <t>pink: error, missing input</t>
  </si>
  <si>
    <t>Total CO2 (if available)</t>
  </si>
  <si>
    <t>Total CO   (if available)</t>
  </si>
  <si>
    <t>Total PM   (if available)</t>
  </si>
  <si>
    <t>Custom: Entered Above</t>
  </si>
  <si>
    <t>Low Power Specific Fuel Consumption</t>
  </si>
  <si>
    <t>MJ/(min∙L)</t>
  </si>
  <si>
    <t>g/MJ</t>
  </si>
  <si>
    <t>g/(min∙L)</t>
  </si>
  <si>
    <t>mg/MJ</t>
  </si>
  <si>
    <t>mg/(min∙L)</t>
  </si>
  <si>
    <t>SIMMER TEST (CALCULATIONS DIFFER FROM HIGH POWER TEST)</t>
  </si>
  <si>
    <t>4.2.3</t>
    <phoneticPr fontId="4" type="noConversion"/>
  </si>
  <si>
    <t>Emissions Calculation Method:</t>
  </si>
  <si>
    <t>Emissions Calculation Method:</t>
    <phoneticPr fontId="4" type="noConversion"/>
  </si>
  <si>
    <r>
      <t>m</t>
    </r>
    <r>
      <rPr>
        <vertAlign val="subscript"/>
        <sz val="10"/>
        <rFont val="Calibri"/>
        <family val="2"/>
      </rPr>
      <t>CO2,h</t>
    </r>
  </si>
  <si>
    <t>blue: emissions</t>
    <phoneticPr fontId="4" type="noConversion"/>
  </si>
  <si>
    <r>
      <t>A</t>
    </r>
    <r>
      <rPr>
        <sz val="12"/>
        <rFont val="Arial"/>
        <family val="2"/>
      </rPr>
      <t>verage Duct Temperature</t>
    </r>
    <phoneticPr fontId="29" type="noConversion"/>
  </si>
  <si>
    <r>
      <t>Δc</t>
    </r>
    <r>
      <rPr>
        <vertAlign val="subscript"/>
        <sz val="9"/>
        <rFont val="Arial"/>
        <family val="2"/>
      </rPr>
      <t>c</t>
    </r>
    <phoneticPr fontId="4" type="noConversion"/>
  </si>
  <si>
    <r>
      <t>EF</t>
    </r>
    <r>
      <rPr>
        <vertAlign val="subscript"/>
        <sz val="11"/>
        <rFont val="Calibri"/>
        <family val="2"/>
      </rPr>
      <t>CO2,c</t>
    </r>
    <phoneticPr fontId="4" type="noConversion"/>
  </si>
  <si>
    <t>IWA Tiers of Performance Report</t>
  </si>
  <si>
    <t>Testing Center</t>
  </si>
  <si>
    <t>Test Protocol</t>
  </si>
  <si>
    <t>Fuel Used</t>
  </si>
  <si>
    <t>Pot Used</t>
  </si>
  <si>
    <t>Test Dates</t>
  </si>
  <si>
    <t>Metric</t>
  </si>
  <si>
    <t>Value</t>
  </si>
  <si>
    <t>Unit</t>
  </si>
  <si>
    <t>Sub-Tier</t>
  </si>
  <si>
    <t>Efficiency / Fuel Use</t>
  </si>
  <si>
    <t>High power Thermal Efficiency</t>
  </si>
  <si>
    <t>Low power Specific Consumption</t>
  </si>
  <si>
    <t>MJ/min/l</t>
  </si>
  <si>
    <t>Emissions</t>
  </si>
  <si>
    <t>High power CO</t>
  </si>
  <si>
    <t>Low power CO</t>
  </si>
  <si>
    <t>g/min/l</t>
  </si>
  <si>
    <t>High power PM 2.5</t>
  </si>
  <si>
    <t>Low power PM 2.5</t>
  </si>
  <si>
    <t>mg/min/l</t>
  </si>
  <si>
    <t>Indoor Emissions</t>
  </si>
  <si>
    <t>Stove Manufacturer</t>
  </si>
  <si>
    <t>Stove Model</t>
  </si>
  <si>
    <t>This data and additional supporting data are shared publically through the Clean Cooking Catalog.</t>
  </si>
  <si>
    <r>
      <t>g/MJ</t>
    </r>
    <r>
      <rPr>
        <vertAlign val="subscript"/>
        <sz val="9"/>
        <rFont val="Arial"/>
        <family val="2"/>
      </rPr>
      <t>d</t>
    </r>
  </si>
  <si>
    <t>Points</t>
  </si>
  <si>
    <r>
      <t xml:space="preserve">Tier 0  </t>
    </r>
    <r>
      <rPr>
        <b/>
        <sz val="11"/>
        <color indexed="8"/>
        <rFont val="Wingdings"/>
        <charset val="2"/>
      </rPr>
      <t>à</t>
    </r>
    <r>
      <rPr>
        <b/>
        <sz val="11"/>
        <color indexed="8"/>
        <rFont val="Arial"/>
        <family val="2"/>
      </rPr>
      <t xml:space="preserve">  Improving Importance  </t>
    </r>
    <r>
      <rPr>
        <b/>
        <sz val="11"/>
        <color indexed="8"/>
        <rFont val="Wingdings"/>
        <charset val="2"/>
      </rPr>
      <t>à</t>
    </r>
    <r>
      <rPr>
        <b/>
        <sz val="11"/>
        <color indexed="8"/>
        <rFont val="Arial"/>
        <family val="2"/>
      </rPr>
      <t xml:space="preserve">  Tier 4</t>
    </r>
  </si>
  <si>
    <r>
      <t>These results were obtained in accordance with the IWA and the Global Alliance for Clean Cookstoves’ reporting requirements</t>
    </r>
    <r>
      <rPr>
        <vertAlign val="superscript"/>
        <sz val="8"/>
        <rFont val="Arial"/>
        <family val="2"/>
      </rPr>
      <t>1</t>
    </r>
    <r>
      <rPr>
        <sz val="8"/>
        <rFont val="Arial"/>
        <family val="2"/>
      </rPr>
      <t xml:space="preserve">. </t>
    </r>
  </si>
  <si>
    <t>http://www.cleancookstoves.org/our-work/standards-and-testing/guidelines-and-standards/guidelines--standards-documents/interim-stove-performance.pdf</t>
  </si>
  <si>
    <r>
      <rPr>
        <vertAlign val="superscript"/>
        <sz val="8"/>
        <rFont val="Arial"/>
        <family val="2"/>
      </rPr>
      <t xml:space="preserve">1 </t>
    </r>
    <r>
      <rPr>
        <sz val="8"/>
        <rFont val="Arial"/>
        <family val="2"/>
      </rPr>
      <t>Interim Stove Performance Reporting Requirements:</t>
    </r>
  </si>
  <si>
    <t>10 weighted safety parameters</t>
  </si>
  <si>
    <t>Test 4</t>
  </si>
  <si>
    <t>Test 5</t>
  </si>
  <si>
    <t>Test 6</t>
  </si>
  <si>
    <t>Test 7</t>
  </si>
  <si>
    <t>Test 8</t>
  </si>
  <si>
    <t>Test 9</t>
  </si>
  <si>
    <t>Test 10</t>
  </si>
  <si>
    <t>Description of Pot(s)</t>
  </si>
  <si>
    <t>Individual Scores for Safety Assessment Criteria</t>
  </si>
  <si>
    <t>Assessment Criteria</t>
  </si>
  <si>
    <t>Multiplier</t>
  </si>
  <si>
    <t>Total</t>
  </si>
  <si>
    <t>Sharp Edges and Points</t>
  </si>
  <si>
    <t>Cookstove Tipping</t>
  </si>
  <si>
    <t>Containment of Fuel</t>
  </si>
  <si>
    <t>Obstructions Near Cooking Surface</t>
  </si>
  <si>
    <t>Surface Temperature</t>
  </si>
  <si>
    <t>Heat Transmission to Surroundings</t>
  </si>
  <si>
    <t>Temperature of Operational Construction</t>
  </si>
  <si>
    <t>Chimney Shielding</t>
  </si>
  <si>
    <t>Flames Surrounding the Cookpot</t>
  </si>
  <si>
    <t xml:space="preserve">Flames/Fuel Exiting Fuel Chamber, Canister, or Pipes </t>
  </si>
  <si>
    <t>Score 1-4</t>
  </si>
  <si>
    <t>Stove Rating</t>
  </si>
  <si>
    <t>Stove Safety IWA Tier</t>
  </si>
  <si>
    <t>Subtotal</t>
  </si>
  <si>
    <t>Water Boiling Test - Version 4.2.3</t>
  </si>
  <si>
    <t>Test-4</t>
  </si>
  <si>
    <t>Test-5</t>
  </si>
  <si>
    <t>Test-6</t>
  </si>
  <si>
    <t>Test-7</t>
  </si>
  <si>
    <t>Test-8</t>
  </si>
  <si>
    <t>Test-9</t>
  </si>
  <si>
    <t>Test-10</t>
  </si>
  <si>
    <t>Test Year</t>
  </si>
  <si>
    <t>Replicate Test Number</t>
  </si>
  <si>
    <t>metric_name</t>
  </si>
  <si>
    <t>sd</t>
  </si>
  <si>
    <t>id</t>
  </si>
  <si>
    <t>IWA high power CO</t>
  </si>
  <si>
    <t>g/MJ-del</t>
  </si>
  <si>
    <t>fuel_description</t>
  </si>
  <si>
    <t>IWA high power PM</t>
  </si>
  <si>
    <t>mg/MJ-del</t>
  </si>
  <si>
    <t>fuel_net_calorific_value</t>
  </si>
  <si>
    <t>IWA low power CO</t>
  </si>
  <si>
    <t>IWA low power PM</t>
  </si>
  <si>
    <t>test_details</t>
  </si>
  <si>
    <t>field_vs_lab</t>
  </si>
  <si>
    <t>number_of_tests</t>
  </si>
  <si>
    <t>IWA high power thermal efficiency</t>
  </si>
  <si>
    <t>altitude</t>
  </si>
  <si>
    <t>IWA low power specific consumption</t>
  </si>
  <si>
    <t>IWA CO</t>
  </si>
  <si>
    <t>IWA PM</t>
  </si>
  <si>
    <t>Specific energy consumption</t>
  </si>
  <si>
    <t>kJ/task</t>
  </si>
  <si>
    <t>Fuel consumed</t>
  </si>
  <si>
    <t>g/task</t>
  </si>
  <si>
    <t>Heating stove thermal efficiency</t>
  </si>
  <si>
    <t>Heating stove PM2.5</t>
  </si>
  <si>
    <t>mg/MJ delivered</t>
  </si>
  <si>
    <t>Heating stove CO</t>
  </si>
  <si>
    <t>g/MJ delivered</t>
  </si>
  <si>
    <t>Cold start firepower</t>
  </si>
  <si>
    <t>W</t>
  </si>
  <si>
    <t>Hot start firepower</t>
  </si>
  <si>
    <t>Simmer firepower</t>
  </si>
  <si>
    <t>Mean time to boil</t>
  </si>
  <si>
    <t>EF BC</t>
  </si>
  <si>
    <t>g/kg</t>
  </si>
  <si>
    <t>EF PM2.5</t>
  </si>
  <si>
    <t>EF CO</t>
  </si>
  <si>
    <t>g/kg fuel</t>
  </si>
  <si>
    <t>EF CH4</t>
  </si>
  <si>
    <t>ER PM2.5</t>
  </si>
  <si>
    <t>ER CO</t>
  </si>
  <si>
    <t>Specific consumption (fuel)</t>
  </si>
  <si>
    <t>g fuel/kg food</t>
  </si>
  <si>
    <t>Specific consumption (energy)</t>
  </si>
  <si>
    <t>MJ/kg food</t>
  </si>
  <si>
    <t>Specific consumption savings from baseline</t>
  </si>
  <si>
    <t>Time to cook food</t>
  </si>
  <si>
    <t>KPT wood used</t>
  </si>
  <si>
    <t>kg/SA/day</t>
  </si>
  <si>
    <t>KPT energy used</t>
  </si>
  <si>
    <t>KPT energy savings from baseline</t>
  </si>
  <si>
    <t>% MJ per SA</t>
  </si>
  <si>
    <t>Total safety score</t>
  </si>
  <si>
    <t>points</t>
  </si>
  <si>
    <t>Energy use per capita wood</t>
  </si>
  <si>
    <t>MJ/person</t>
  </si>
  <si>
    <t>Energy use per capita other biomass</t>
  </si>
  <si>
    <t>Energy use per capita coal or charcoal</t>
  </si>
  <si>
    <t>Energy use per capita kerosene</t>
  </si>
  <si>
    <t>Energy use per capita LPG</t>
  </si>
  <si>
    <t>Day 1 energy use per capita</t>
  </si>
  <si>
    <t>Day 2 energy use per capita</t>
  </si>
  <si>
    <t>Day 3 energy use per capita</t>
  </si>
  <si>
    <t>Time to boil cold start</t>
  </si>
  <si>
    <t>Time to boil hot start</t>
  </si>
  <si>
    <t>Temp-corrected time to boil cold start</t>
  </si>
  <si>
    <t>Temp-corrected time to boil hot start</t>
  </si>
  <si>
    <t>Simmer thermal efficiency</t>
  </si>
  <si>
    <t>Specific fuel consumption cold start</t>
  </si>
  <si>
    <t>g/L</t>
  </si>
  <si>
    <t>Specific fuel consumption hot start</t>
  </si>
  <si>
    <t>Temp-corrected specific consumption cold start</t>
  </si>
  <si>
    <t>Temp-corrected specific consumption hot start</t>
  </si>
  <si>
    <t>Temp-corrected specific energy cons cold start</t>
  </si>
  <si>
    <t>kJ/L</t>
  </si>
  <si>
    <t>Temp-corrected specific energy cons hot start</t>
  </si>
  <si>
    <t>Burning rate hot start</t>
  </si>
  <si>
    <t>Burning rate cold start</t>
  </si>
  <si>
    <t>Burning rate simmer</t>
  </si>
  <si>
    <t xml:space="preserve">Water Boiling Test - General Information </t>
  </si>
  <si>
    <t>http://www.cleancookstoves.org/our-work/standards-and-testing/learn-about-testing-protocols/</t>
  </si>
  <si>
    <t>Please note this is a summary of the criteria evaluated by the Biomass Stove Safety Protocol. For the full protocol and data calculation sheet, visit:</t>
  </si>
  <si>
    <t>Altitude/Elevation (m)</t>
  </si>
  <si>
    <t>Do not edit this tab. This tab is for internal use by the Clean Cooking Catalog, and will be automatically filled as you enter data throughout the spreadsheet. It should not be edited directly. Contact catalog@cleancookstoves.org with any questions.</t>
  </si>
  <si>
    <t>iwa_label</t>
  </si>
  <si>
    <t>iwa_value</t>
  </si>
  <si>
    <t>metric_value</t>
  </si>
  <si>
    <t>tier_iwa_efficiency</t>
  </si>
  <si>
    <t>sub_high_power_co</t>
  </si>
  <si>
    <t>sub_low_power_co</t>
  </si>
  <si>
    <t>sub_high_power_pm25</t>
  </si>
  <si>
    <t>sub_low_power_pm25</t>
  </si>
  <si>
    <t>tier_iwa_emissions</t>
  </si>
  <si>
    <t>sub_high_power_te</t>
  </si>
  <si>
    <t>sub_low_power_sc</t>
  </si>
  <si>
    <t>tier_iwa_indoor_emissions</t>
  </si>
  <si>
    <t>sub_high_power_indoor_co</t>
  </si>
  <si>
    <t>sub_low_power_indoor_co</t>
  </si>
  <si>
    <t>sub_high_power_indoor_pm25</t>
  </si>
  <si>
    <t>sub_low_power_indoor_pm25</t>
  </si>
  <si>
    <t>tier_iwa_safety</t>
  </si>
  <si>
    <t>Specific fuel consumption simmer</t>
  </si>
  <si>
    <t>Temp-corrected specific energy cons simmer</t>
  </si>
  <si>
    <t>Indoor emissions CO</t>
  </si>
  <si>
    <t>Indoor emissions PM 2.5</t>
  </si>
  <si>
    <t>Sharp edges and points rating</t>
  </si>
  <si>
    <t>Cookstove tipping rating</t>
  </si>
  <si>
    <t>Containment of fuel rating</t>
  </si>
  <si>
    <t>Obstructions near cooking surface rating</t>
  </si>
  <si>
    <t>Surface temperature rating</t>
  </si>
  <si>
    <t>Heat transmission to surroundings rating</t>
  </si>
  <si>
    <t>Temperature of operational construction rating</t>
  </si>
  <si>
    <t>Chimney shielding rating</t>
  </si>
  <si>
    <t>Flames surrounding cookpot rating</t>
  </si>
  <si>
    <t>Flames or fuel exiting chamber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</si>
</sst>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h:mm;@"/>
    <numFmt numFmtId="165" formatCode="0.0"/>
    <numFmt numFmtId="166" formatCode="m/d/yyyy;@"/>
    <numFmt numFmtId="167" formatCode="_(* #,##0.00_);_(* \(#,##0.00\);_(* \-??_);_(@_)"/>
    <numFmt numFmtId="168" formatCode="_(* #,##0_);_(* \(#,##0\);_(* \-??_);_(@_)"/>
    <numFmt numFmtId="169" formatCode="_(* #,##0.0_);_(* \(#,##0.0\);_(* \-??_);_(@_)"/>
    <numFmt numFmtId="170" formatCode="#,##0;\-#,##0"/>
    <numFmt numFmtId="171" formatCode="_(* #,##0.000_);_(* \(#,##0.000\);_(* \-??_);_(@_)"/>
    <numFmt numFmtId="172" formatCode="0.0%"/>
    <numFmt numFmtId="173" formatCode="dd/mmm"/>
    <numFmt numFmtId="174" formatCode="_(* #,##0.00_);_(* \(#,##0.00\);_(* ??_);_(@_)"/>
    <numFmt numFmtId="175" formatCode="0.000"/>
    <numFmt numFmtId="176" formatCode="#,##0.0"/>
    <numFmt numFmtId="177" formatCode="0;\-0;;@"/>
    <numFmt numFmtId="178" formatCode="0.0;\-0.0;;@"/>
    <numFmt numFmtId="179" formatCode="0.00;\-0.00;;@"/>
  </numFmts>
  <fonts count="49" x14ac:knownFonts="1">
    <font>
      <sz val="10"/>
      <name val="Arial"/>
      <family val="2"/>
    </font>
    <font>
      <sz val="10"/>
      <name val="Arial"/>
      <family val="2"/>
    </font>
    <font>
      <sz val="9"/>
      <name val="Arial"/>
      <family val="2"/>
    </font>
    <font>
      <b/>
      <sz val="9"/>
      <name val="Arial"/>
      <family val="2"/>
    </font>
    <font>
      <sz val="8"/>
      <name val="Arial"/>
      <family val="2"/>
    </font>
    <font>
      <b/>
      <i/>
      <sz val="9"/>
      <name val="Arial"/>
      <family val="2"/>
    </font>
    <font>
      <vertAlign val="subscript"/>
      <sz val="9"/>
      <name val="Arial"/>
      <family val="2"/>
    </font>
    <font>
      <sz val="8"/>
      <color indexed="8"/>
      <name val="Times New Roman"/>
      <family val="1"/>
    </font>
    <font>
      <b/>
      <sz val="8"/>
      <color indexed="8"/>
      <name val="Times New Roman"/>
      <family val="1"/>
    </font>
    <font>
      <u/>
      <sz val="9"/>
      <name val="Arial"/>
      <family val="2"/>
    </font>
    <font>
      <vertAlign val="superscript"/>
      <sz val="9"/>
      <name val="Arial"/>
      <family val="2"/>
    </font>
    <font>
      <b/>
      <sz val="10"/>
      <name val="Arial"/>
      <family val="2"/>
    </font>
    <font>
      <b/>
      <u/>
      <sz val="10"/>
      <name val="Arial"/>
      <family val="2"/>
    </font>
    <font>
      <b/>
      <vertAlign val="superscript"/>
      <sz val="10"/>
      <name val="Arial"/>
      <family val="2"/>
    </font>
    <font>
      <vertAlign val="superscript"/>
      <sz val="10"/>
      <name val="Arial"/>
      <family val="2"/>
    </font>
    <font>
      <i/>
      <sz val="10"/>
      <name val="Arial"/>
      <family val="2"/>
    </font>
    <font>
      <sz val="12"/>
      <name val="Arial"/>
      <family val="2"/>
    </font>
    <font>
      <sz val="14"/>
      <name val="Arial"/>
      <family val="2"/>
    </font>
    <font>
      <b/>
      <sz val="14"/>
      <name val="Arial"/>
      <family val="2"/>
    </font>
    <font>
      <b/>
      <i/>
      <sz val="12"/>
      <name val="Arial"/>
      <family val="2"/>
    </font>
    <font>
      <sz val="10"/>
      <name val="Arial"/>
      <family val="2"/>
    </font>
    <font>
      <i/>
      <sz val="12"/>
      <name val="Arial"/>
      <family val="2"/>
    </font>
    <font>
      <i/>
      <u/>
      <sz val="12"/>
      <name val="Arial"/>
      <family val="2"/>
    </font>
    <font>
      <u/>
      <sz val="12"/>
      <name val="Arial"/>
      <family val="2"/>
    </font>
    <font>
      <b/>
      <i/>
      <sz val="16"/>
      <name val="Arial"/>
      <family val="2"/>
    </font>
    <font>
      <b/>
      <i/>
      <sz val="10"/>
      <name val="Arial"/>
      <family val="2"/>
    </font>
    <font>
      <sz val="8"/>
      <color indexed="81"/>
      <name val="Tahoma"/>
      <family val="2"/>
    </font>
    <font>
      <b/>
      <sz val="8"/>
      <color indexed="81"/>
      <name val="Tahoma"/>
      <family val="2"/>
    </font>
    <font>
      <u/>
      <sz val="8"/>
      <color indexed="12"/>
      <name val="Arial"/>
      <family val="2"/>
    </font>
    <font>
      <sz val="8"/>
      <name val="Arial"/>
      <family val="2"/>
    </font>
    <font>
      <sz val="12"/>
      <name val="Arial"/>
      <family val="2"/>
    </font>
    <font>
      <sz val="14"/>
      <name val="Arial"/>
      <family val="2"/>
    </font>
    <font>
      <b/>
      <sz val="14"/>
      <name val="Arial"/>
      <family val="2"/>
    </font>
    <font>
      <b/>
      <i/>
      <sz val="14"/>
      <name val="Arial"/>
      <family val="2"/>
    </font>
    <font>
      <i/>
      <sz val="9"/>
      <name val="Arial"/>
      <family val="2"/>
    </font>
    <font>
      <sz val="10"/>
      <name val="ＭＳ Ｐゴシック"/>
      <family val="3"/>
      <charset val="128"/>
    </font>
    <font>
      <sz val="9"/>
      <name val="ＭＳ Ｐゴシック"/>
      <family val="3"/>
      <charset val="128"/>
    </font>
    <font>
      <sz val="10"/>
      <name val="Calibri"/>
      <family val="2"/>
    </font>
    <font>
      <sz val="11"/>
      <name val="Calibri"/>
      <family val="2"/>
    </font>
    <font>
      <vertAlign val="subscript"/>
      <sz val="11"/>
      <name val="Calibri"/>
      <family val="2"/>
    </font>
    <font>
      <vertAlign val="subscript"/>
      <sz val="10"/>
      <name val="Calibri"/>
      <family val="2"/>
    </font>
    <font>
      <b/>
      <sz val="12"/>
      <name val="Arial"/>
      <family val="2"/>
    </font>
    <font>
      <b/>
      <sz val="16"/>
      <name val="Arial"/>
      <family val="2"/>
    </font>
    <font>
      <b/>
      <sz val="11"/>
      <color indexed="8"/>
      <name val="Wingdings"/>
      <charset val="2"/>
    </font>
    <font>
      <b/>
      <sz val="11"/>
      <color indexed="8"/>
      <name val="Arial"/>
      <family val="2"/>
    </font>
    <font>
      <vertAlign val="superscript"/>
      <sz val="8"/>
      <name val="Arial"/>
      <family val="2"/>
    </font>
    <font>
      <b/>
      <sz val="9"/>
      <color theme="1"/>
      <name val="Arial"/>
      <family val="2"/>
    </font>
    <font>
      <sz val="9"/>
      <color rgb="FF323537"/>
      <name val="Arial"/>
      <family val="2"/>
    </font>
    <font>
      <b/>
      <sz val="11"/>
      <color theme="1"/>
      <name val="Arial"/>
      <family val="2"/>
    </font>
  </fonts>
  <fills count="16">
    <fill>
      <patternFill patternType="none"/>
    </fill>
    <fill>
      <patternFill patternType="gray125"/>
    </fill>
    <fill>
      <patternFill patternType="solid">
        <fgColor indexed="22"/>
        <bgColor indexed="31"/>
      </patternFill>
    </fill>
    <fill>
      <patternFill patternType="solid">
        <fgColor indexed="9"/>
        <bgColor indexed="26"/>
      </patternFill>
    </fill>
    <fill>
      <patternFill patternType="solid">
        <fgColor indexed="13"/>
        <bgColor indexed="34"/>
      </patternFill>
    </fill>
    <fill>
      <patternFill patternType="solid">
        <fgColor indexed="22"/>
        <bgColor indexed="64"/>
      </patternFill>
    </fill>
    <fill>
      <patternFill patternType="solid">
        <fgColor indexed="45"/>
        <bgColor indexed="64"/>
      </patternFill>
    </fill>
    <fill>
      <patternFill patternType="solid">
        <fgColor indexed="41"/>
        <bgColor indexed="64"/>
      </patternFill>
    </fill>
    <fill>
      <patternFill patternType="solid">
        <fgColor indexed="13"/>
        <bgColor indexed="64"/>
      </patternFill>
    </fill>
    <fill>
      <patternFill patternType="solid">
        <fgColor indexed="43"/>
        <bgColor indexed="64"/>
      </patternFill>
    </fill>
    <fill>
      <patternFill patternType="solid">
        <fgColor indexed="41"/>
        <bgColor indexed="31"/>
      </patternFill>
    </fill>
    <fill>
      <patternFill patternType="solid">
        <fgColor rgb="FFCCFFFF"/>
        <bgColor indexed="64"/>
      </patternFill>
    </fill>
    <fill>
      <patternFill patternType="solid">
        <fgColor rgb="FFCCFFFF"/>
        <bgColor indexed="31"/>
      </patternFill>
    </fill>
    <fill>
      <patternFill patternType="solid">
        <fgColor theme="5" tint="0.59996337778862885"/>
        <bgColor indexed="64"/>
      </patternFill>
    </fill>
    <fill>
      <patternFill patternType="solid">
        <fgColor theme="0" tint="-0.24994659260841701"/>
        <bgColor indexed="64"/>
      </patternFill>
    </fill>
    <fill>
      <patternFill patternType="solid">
        <fgColor rgb="FFE6B8B7"/>
        <bgColor indexed="64"/>
      </patternFill>
    </fill>
  </fills>
  <borders count="166">
    <border>
      <left/>
      <right/>
      <top/>
      <bottom/>
      <diagonal/>
    </border>
    <border>
      <left style="double">
        <color indexed="8"/>
      </left>
      <right/>
      <top style="double">
        <color indexed="8"/>
      </top>
      <bottom/>
      <diagonal/>
    </border>
    <border>
      <left/>
      <right/>
      <top style="double">
        <color indexed="8"/>
      </top>
      <bottom/>
      <diagonal/>
    </border>
    <border>
      <left/>
      <right style="double">
        <color indexed="8"/>
      </right>
      <top style="double">
        <color indexed="8"/>
      </top>
      <bottom/>
      <diagonal/>
    </border>
    <border>
      <left style="double">
        <color indexed="8"/>
      </left>
      <right/>
      <top/>
      <bottom/>
      <diagonal/>
    </border>
    <border>
      <left/>
      <right style="medium">
        <color indexed="8"/>
      </right>
      <top style="medium">
        <color indexed="8"/>
      </top>
      <bottom style="medium">
        <color indexed="8"/>
      </bottom>
      <diagonal/>
    </border>
    <border>
      <left style="medium">
        <color indexed="8"/>
      </left>
      <right style="medium">
        <color indexed="8"/>
      </right>
      <top/>
      <bottom/>
      <diagonal/>
    </border>
    <border>
      <left/>
      <right style="double">
        <color indexed="8"/>
      </right>
      <top/>
      <bottom/>
      <diagonal/>
    </border>
    <border>
      <left style="double">
        <color indexed="8"/>
      </left>
      <right style="medium">
        <color indexed="8"/>
      </right>
      <top/>
      <bottom/>
      <diagonal/>
    </border>
    <border>
      <left/>
      <right style="medium">
        <color indexed="8"/>
      </right>
      <top style="medium">
        <color indexed="8"/>
      </top>
      <bottom/>
      <diagonal/>
    </border>
    <border>
      <left/>
      <right style="medium">
        <color indexed="8"/>
      </right>
      <top/>
      <bottom/>
      <diagonal/>
    </border>
    <border>
      <left/>
      <right style="thin">
        <color indexed="8"/>
      </right>
      <top style="medium">
        <color indexed="8"/>
      </top>
      <bottom/>
      <diagonal/>
    </border>
    <border>
      <left/>
      <right/>
      <top/>
      <bottom style="thin">
        <color indexed="8"/>
      </bottom>
      <diagonal/>
    </border>
    <border>
      <left/>
      <right style="thin">
        <color indexed="8"/>
      </right>
      <top/>
      <bottom style="thin">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top/>
      <bottom style="medium">
        <color indexed="8"/>
      </bottom>
      <diagonal/>
    </border>
    <border>
      <left/>
      <right style="thin">
        <color indexed="8"/>
      </right>
      <top/>
      <bottom style="medium">
        <color indexed="8"/>
      </bottom>
      <diagonal/>
    </border>
    <border>
      <left/>
      <right/>
      <top/>
      <bottom style="hair">
        <color indexed="8"/>
      </bottom>
      <diagonal/>
    </border>
    <border>
      <left/>
      <right style="thin">
        <color indexed="8"/>
      </right>
      <top/>
      <bottom/>
      <diagonal/>
    </border>
    <border>
      <left/>
      <right/>
      <top style="hair">
        <color indexed="8"/>
      </top>
      <bottom/>
      <diagonal/>
    </border>
    <border>
      <left style="thin">
        <color indexed="8"/>
      </left>
      <right/>
      <top/>
      <bottom/>
      <diagonal/>
    </border>
    <border>
      <left style="thin">
        <color indexed="8"/>
      </left>
      <right/>
      <top style="thin">
        <color indexed="8"/>
      </top>
      <bottom/>
      <diagonal/>
    </border>
    <border>
      <left/>
      <right/>
      <top style="thin">
        <color indexed="8"/>
      </top>
      <bottom/>
      <diagonal/>
    </border>
    <border>
      <left style="medium">
        <color indexed="8"/>
      </left>
      <right/>
      <top/>
      <bottom style="medium">
        <color indexed="8"/>
      </bottom>
      <diagonal/>
    </border>
    <border>
      <left/>
      <right style="double">
        <color indexed="8"/>
      </right>
      <top/>
      <bottom style="medium">
        <color indexed="8"/>
      </bottom>
      <diagonal/>
    </border>
    <border>
      <left style="double">
        <color indexed="8"/>
      </left>
      <right/>
      <top/>
      <bottom style="double">
        <color indexed="8"/>
      </bottom>
      <diagonal/>
    </border>
    <border>
      <left/>
      <right/>
      <top/>
      <bottom style="double">
        <color indexed="8"/>
      </bottom>
      <diagonal/>
    </border>
    <border>
      <left/>
      <right style="double">
        <color indexed="8"/>
      </right>
      <top/>
      <bottom style="double">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style="hair">
        <color indexed="8"/>
      </left>
      <right style="hair">
        <color indexed="8"/>
      </right>
      <top style="hair">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bottom style="hair">
        <color indexed="8"/>
      </bottom>
      <diagonal/>
    </border>
    <border>
      <left/>
      <right style="hair">
        <color indexed="8"/>
      </right>
      <top/>
      <bottom style="hair">
        <color indexed="8"/>
      </bottom>
      <diagonal/>
    </border>
    <border>
      <left style="medium">
        <color indexed="8"/>
      </left>
      <right/>
      <top/>
      <bottom/>
      <diagonal/>
    </border>
    <border>
      <left/>
      <right/>
      <top style="medium">
        <color indexed="8"/>
      </top>
      <bottom/>
      <diagonal/>
    </border>
    <border>
      <left style="medium">
        <color indexed="8"/>
      </left>
      <right/>
      <top style="medium">
        <color indexed="8"/>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double">
        <color indexed="8"/>
      </bottom>
      <diagonal/>
    </border>
    <border>
      <left/>
      <right style="medium">
        <color indexed="8"/>
      </right>
      <top/>
      <bottom style="double">
        <color indexed="8"/>
      </bottom>
      <diagonal/>
    </border>
    <border>
      <left style="medium">
        <color indexed="8"/>
      </left>
      <right/>
      <top style="medium">
        <color indexed="8"/>
      </top>
      <bottom style="medium">
        <color indexed="8"/>
      </bottom>
      <diagonal/>
    </border>
    <border>
      <left style="double">
        <color indexed="8"/>
      </left>
      <right/>
      <top style="thick">
        <color indexed="8"/>
      </top>
      <bottom/>
      <diagonal/>
    </border>
    <border>
      <left/>
      <right/>
      <top style="thick">
        <color indexed="8"/>
      </top>
      <bottom/>
      <diagonal/>
    </border>
    <border>
      <left/>
      <right style="thin">
        <color indexed="8"/>
      </right>
      <top style="double">
        <color indexed="8"/>
      </top>
      <bottom/>
      <diagonal/>
    </border>
    <border>
      <left/>
      <right/>
      <top/>
      <bottom style="dotted">
        <color indexed="8"/>
      </bottom>
      <diagonal/>
    </border>
    <border>
      <left/>
      <right/>
      <top style="hair">
        <color indexed="8"/>
      </top>
      <bottom style="hair">
        <color indexed="8"/>
      </bottom>
      <diagonal/>
    </border>
    <border>
      <left/>
      <right/>
      <top/>
      <bottom style="double">
        <color indexed="64"/>
      </bottom>
      <diagonal/>
    </border>
    <border>
      <left/>
      <right style="thin">
        <color indexed="8"/>
      </right>
      <top style="thin">
        <color indexed="8"/>
      </top>
      <bottom/>
      <diagonal/>
    </border>
    <border>
      <left style="medium">
        <color indexed="64"/>
      </left>
      <right/>
      <top style="double">
        <color indexed="64"/>
      </top>
      <bottom/>
      <diagonal/>
    </border>
    <border>
      <left/>
      <right/>
      <top style="double">
        <color indexed="64"/>
      </top>
      <bottom/>
      <diagonal/>
    </border>
    <border>
      <left style="thin">
        <color indexed="64"/>
      </left>
      <right style="double">
        <color indexed="64"/>
      </right>
      <top style="double">
        <color indexed="64"/>
      </top>
      <bottom/>
      <diagonal/>
    </border>
    <border>
      <left style="medium">
        <color indexed="64"/>
      </left>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8"/>
      </left>
      <right/>
      <top/>
      <bottom style="thick">
        <color indexed="8"/>
      </bottom>
      <diagonal/>
    </border>
    <border>
      <left/>
      <right style="medium">
        <color indexed="8"/>
      </right>
      <top/>
      <bottom style="thick">
        <color indexed="8"/>
      </bottom>
      <diagonal/>
    </border>
    <border>
      <left/>
      <right style="medium">
        <color indexed="8"/>
      </right>
      <top style="thick">
        <color indexed="8"/>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8"/>
      </left>
      <right/>
      <top/>
      <bottom style="double">
        <color indexed="8"/>
      </bottom>
      <diagonal/>
    </border>
    <border>
      <left/>
      <right style="medium">
        <color indexed="8"/>
      </right>
      <top style="double">
        <color indexed="8"/>
      </top>
      <bottom/>
      <diagonal/>
    </border>
    <border>
      <left/>
      <right style="double">
        <color indexed="64"/>
      </right>
      <top/>
      <bottom/>
      <diagonal/>
    </border>
    <border>
      <left style="medium">
        <color indexed="64"/>
      </left>
      <right/>
      <top style="thin">
        <color indexed="64"/>
      </top>
      <bottom style="double">
        <color indexed="64"/>
      </bottom>
      <diagonal/>
    </border>
    <border>
      <left/>
      <right/>
      <top style="medium">
        <color indexed="8"/>
      </top>
      <bottom style="hair">
        <color indexed="8"/>
      </bottom>
      <diagonal/>
    </border>
    <border>
      <left/>
      <right/>
      <top/>
      <bottom style="hair">
        <color indexed="64"/>
      </bottom>
      <diagonal/>
    </border>
    <border>
      <left/>
      <right/>
      <top style="hair">
        <color indexed="64"/>
      </top>
      <bottom style="hair">
        <color indexed="64"/>
      </bottom>
      <diagonal/>
    </border>
    <border>
      <left/>
      <right/>
      <top style="hair">
        <color indexed="8"/>
      </top>
      <bottom style="double">
        <color indexed="8"/>
      </bottom>
      <diagonal/>
    </border>
    <border>
      <left/>
      <right/>
      <top style="hair">
        <color indexed="8"/>
      </top>
      <bottom style="hair">
        <color indexed="64"/>
      </bottom>
      <diagonal/>
    </border>
    <border>
      <left/>
      <right/>
      <top style="dotted">
        <color indexed="8"/>
      </top>
      <bottom/>
      <diagonal/>
    </border>
    <border>
      <left style="thin">
        <color indexed="64"/>
      </left>
      <right style="double">
        <color indexed="64"/>
      </right>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bottom style="double">
        <color indexed="64"/>
      </bottom>
      <diagonal/>
    </border>
    <border>
      <left style="medium">
        <color indexed="64"/>
      </left>
      <right style="medium">
        <color indexed="64"/>
      </right>
      <top/>
      <bottom/>
      <diagonal/>
    </border>
    <border>
      <left style="thin">
        <color indexed="64"/>
      </left>
      <right/>
      <top/>
      <bottom/>
      <diagonal/>
    </border>
    <border>
      <left/>
      <right/>
      <top style="hair">
        <color indexed="8"/>
      </top>
      <bottom style="medium">
        <color indexed="8"/>
      </bottom>
      <diagonal/>
    </border>
    <border>
      <left/>
      <right style="medium">
        <color indexed="64"/>
      </right>
      <top/>
      <bottom style="medium">
        <color indexed="8"/>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style="thin">
        <color indexed="64"/>
      </right>
      <top/>
      <bottom style="medium">
        <color indexed="64"/>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style="thin">
        <color indexed="64"/>
      </bottom>
      <diagonal/>
    </border>
    <border>
      <left/>
      <right/>
      <top style="dotted">
        <color indexed="64"/>
      </top>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bottom style="thin">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dotted">
        <color indexed="64"/>
      </top>
      <bottom style="medium">
        <color indexed="64"/>
      </bottom>
      <diagonal/>
    </border>
    <border>
      <left/>
      <right/>
      <top/>
      <bottom style="dotted">
        <color indexed="64"/>
      </bottom>
      <diagonal/>
    </border>
    <border>
      <left/>
      <right/>
      <top style="dotted">
        <color indexed="64"/>
      </top>
      <bottom style="dotted">
        <color indexed="64"/>
      </bottom>
      <diagonal/>
    </border>
    <border>
      <left style="hair">
        <color indexed="64"/>
      </left>
      <right style="medium">
        <color indexed="64"/>
      </right>
      <top/>
      <bottom style="thin">
        <color indexed="64"/>
      </bottom>
      <diagonal/>
    </border>
    <border>
      <left style="hair">
        <color indexed="64"/>
      </left>
      <right style="medium">
        <color indexed="64"/>
      </right>
      <top/>
      <bottom/>
      <diagonal/>
    </border>
    <border>
      <left style="thick">
        <color indexed="64"/>
      </left>
      <right/>
      <top/>
      <bottom style="dotted">
        <color indexed="64"/>
      </bottom>
      <diagonal/>
    </border>
    <border>
      <left style="thick">
        <color indexed="64"/>
      </left>
      <right/>
      <top style="dotted">
        <color indexed="64"/>
      </top>
      <bottom style="dotted">
        <color indexed="64"/>
      </bottom>
      <diagonal/>
    </border>
    <border>
      <left style="thin">
        <color indexed="8"/>
      </left>
      <right/>
      <top style="hair">
        <color indexed="8"/>
      </top>
      <bottom style="hair">
        <color indexed="8"/>
      </bottom>
      <diagonal/>
    </border>
    <border>
      <left/>
      <right style="thin">
        <color indexed="8"/>
      </right>
      <top style="hair">
        <color indexed="8"/>
      </top>
      <bottom style="hair">
        <color indexed="8"/>
      </bottom>
      <diagonal/>
    </border>
    <border>
      <left style="thin">
        <color indexed="8"/>
      </left>
      <right/>
      <top style="thin">
        <color indexed="8"/>
      </top>
      <bottom style="hair">
        <color indexed="8"/>
      </bottom>
      <diagonal/>
    </border>
    <border>
      <left/>
      <right/>
      <top style="thin">
        <color indexed="8"/>
      </top>
      <bottom style="hair">
        <color indexed="8"/>
      </bottom>
      <diagonal/>
    </border>
    <border>
      <left/>
      <right style="thin">
        <color indexed="8"/>
      </right>
      <top style="thin">
        <color indexed="8"/>
      </top>
      <bottom style="hair">
        <color indexed="8"/>
      </bottom>
      <diagonal/>
    </border>
    <border>
      <left style="thin">
        <color indexed="8"/>
      </left>
      <right/>
      <top style="hair">
        <color indexed="8"/>
      </top>
      <bottom style="thin">
        <color indexed="8"/>
      </bottom>
      <diagonal/>
    </border>
    <border>
      <left/>
      <right/>
      <top style="hair">
        <color indexed="8"/>
      </top>
      <bottom style="thin">
        <color indexed="8"/>
      </bottom>
      <diagonal/>
    </border>
    <border>
      <left/>
      <right style="thin">
        <color indexed="8"/>
      </right>
      <top style="hair">
        <color indexed="8"/>
      </top>
      <bottom style="thin">
        <color indexed="8"/>
      </bottom>
      <diagonal/>
    </border>
    <border>
      <left style="medium">
        <color indexed="8"/>
      </left>
      <right/>
      <top/>
      <bottom style="thin">
        <color indexed="8"/>
      </bottom>
      <diagonal/>
    </border>
    <border>
      <left/>
      <right style="medium">
        <color indexed="8"/>
      </right>
      <top/>
      <bottom style="thin">
        <color indexed="8"/>
      </bottom>
      <diagonal/>
    </border>
    <border>
      <left style="double">
        <color indexed="8"/>
      </left>
      <right style="double">
        <color indexed="8"/>
      </right>
      <top/>
      <bottom/>
      <diagonal/>
    </border>
    <border>
      <left style="medium">
        <color indexed="8"/>
      </left>
      <right style="medium">
        <color indexed="8"/>
      </right>
      <top style="medium">
        <color indexed="8"/>
      </top>
      <bottom style="medium">
        <color indexed="8"/>
      </bottom>
      <diagonal/>
    </border>
    <border>
      <left style="medium">
        <color indexed="8"/>
      </left>
      <right/>
      <top/>
      <bottom style="hair">
        <color indexed="8"/>
      </bottom>
      <diagonal/>
    </border>
    <border>
      <left/>
      <right/>
      <top style="medium">
        <color indexed="8"/>
      </top>
      <bottom style="thin">
        <color indexed="8"/>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hair">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hair">
        <color indexed="64"/>
      </right>
      <top style="thin">
        <color indexed="64"/>
      </top>
      <bottom style="thin">
        <color indexed="64"/>
      </bottom>
      <diagonal/>
    </border>
    <border>
      <left/>
      <right style="hair">
        <color indexed="64"/>
      </right>
      <top style="thin">
        <color indexed="64"/>
      </top>
      <bottom style="medium">
        <color indexed="64"/>
      </bottom>
      <diagonal/>
    </border>
    <border>
      <left/>
      <right style="hair">
        <color indexed="64"/>
      </right>
      <top style="medium">
        <color indexed="64"/>
      </top>
      <bottom style="thin">
        <color indexed="64"/>
      </bottom>
      <diagonal/>
    </border>
  </borders>
  <cellStyleXfs count="5">
    <xf numFmtId="0" fontId="0" fillId="0" borderId="0"/>
    <xf numFmtId="167" fontId="20" fillId="0" borderId="0" applyFill="0" applyBorder="0" applyAlignment="0" applyProtection="0"/>
    <xf numFmtId="0" fontId="28" fillId="0" borderId="0" applyNumberFormat="0" applyFill="0" applyBorder="0" applyAlignment="0" applyProtection="0">
      <alignment vertical="top"/>
      <protection locked="0"/>
    </xf>
    <xf numFmtId="0" fontId="1" fillId="0" borderId="0"/>
    <xf numFmtId="9" fontId="20" fillId="0" borderId="0" applyFill="0" applyBorder="0" applyAlignment="0" applyProtection="0"/>
  </cellStyleXfs>
  <cellXfs count="765">
    <xf numFmtId="0" fontId="0" fillId="0" borderId="0" xfId="0"/>
    <xf numFmtId="0" fontId="2" fillId="0" borderId="0" xfId="0" applyFont="1" applyAlignment="1"/>
    <xf numFmtId="0" fontId="2" fillId="0" borderId="0" xfId="0" applyFont="1" applyBorder="1" applyAlignment="1"/>
    <xf numFmtId="0" fontId="2" fillId="0" borderId="0" xfId="0" applyFont="1"/>
    <xf numFmtId="0" fontId="2" fillId="0" borderId="1" xfId="0" applyFont="1" applyBorder="1" applyAlignment="1"/>
    <xf numFmtId="0" fontId="2" fillId="0" borderId="2" xfId="0" applyFont="1" applyBorder="1" applyAlignment="1"/>
    <xf numFmtId="0" fontId="2" fillId="0" borderId="3" xfId="0" applyFont="1" applyBorder="1" applyAlignment="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0" xfId="0" applyFont="1" applyBorder="1"/>
    <xf numFmtId="0" fontId="2" fillId="0" borderId="7" xfId="0" applyFont="1" applyBorder="1"/>
    <xf numFmtId="0" fontId="2" fillId="0" borderId="7" xfId="0" applyFont="1" applyBorder="1" applyAlignment="1"/>
    <xf numFmtId="0" fontId="2" fillId="0" borderId="4" xfId="0" applyFont="1" applyBorder="1" applyAlignment="1">
      <alignment horizontal="left"/>
    </xf>
    <xf numFmtId="0" fontId="3" fillId="0" borderId="0" xfId="0" applyFont="1" applyBorder="1" applyAlignment="1">
      <alignment horizontal="left"/>
    </xf>
    <xf numFmtId="0" fontId="2" fillId="0" borderId="7" xfId="0" applyFont="1" applyBorder="1" applyAlignment="1">
      <alignment horizontal="left"/>
    </xf>
    <xf numFmtId="0" fontId="3" fillId="0" borderId="8" xfId="0" applyFont="1" applyBorder="1" applyAlignment="1">
      <alignment horizontal="left" indent="1"/>
    </xf>
    <xf numFmtId="0" fontId="2" fillId="0" borderId="9" xfId="0" applyFont="1" applyBorder="1"/>
    <xf numFmtId="0" fontId="2" fillId="0" borderId="10" xfId="0" applyFont="1" applyBorder="1"/>
    <xf numFmtId="0" fontId="2" fillId="0" borderId="0" xfId="0" applyFont="1" applyBorder="1" applyAlignment="1">
      <alignment horizontal="center"/>
    </xf>
    <xf numFmtId="0" fontId="2" fillId="0" borderId="11" xfId="0" applyFont="1" applyBorder="1"/>
    <xf numFmtId="0" fontId="2" fillId="0" borderId="10" xfId="0" applyFont="1" applyBorder="1" applyAlignment="1">
      <alignment horizontal="center"/>
    </xf>
    <xf numFmtId="0" fontId="2" fillId="0" borderId="4" xfId="0" applyFont="1" applyBorder="1" applyAlignment="1"/>
    <xf numFmtId="0" fontId="5" fillId="0" borderId="0" xfId="0" applyFont="1" applyBorder="1" applyAlignment="1"/>
    <xf numFmtId="0" fontId="5" fillId="0" borderId="0" xfId="0" applyFont="1" applyBorder="1" applyAlignment="1">
      <alignment horizontal="left"/>
    </xf>
    <xf numFmtId="0" fontId="2" fillId="0" borderId="8" xfId="0" applyFont="1" applyBorder="1"/>
    <xf numFmtId="0" fontId="3" fillId="0" borderId="10" xfId="0" applyFont="1" applyBorder="1" applyAlignment="1"/>
    <xf numFmtId="0" fontId="2" fillId="0" borderId="10" xfId="0" applyFont="1" applyBorder="1" applyAlignment="1"/>
    <xf numFmtId="0" fontId="2" fillId="0" borderId="12" xfId="0" applyFont="1" applyBorder="1"/>
    <xf numFmtId="0" fontId="2" fillId="0" borderId="13" xfId="0" applyFont="1" applyBorder="1" applyAlignment="1">
      <alignment horizontal="center"/>
    </xf>
    <xf numFmtId="0" fontId="2" fillId="0" borderId="12" xfId="0" applyFont="1" applyBorder="1" applyAlignment="1">
      <alignment horizontal="center"/>
    </xf>
    <xf numFmtId="0" fontId="2" fillId="0" borderId="13" xfId="0" applyFont="1" applyBorder="1"/>
    <xf numFmtId="0" fontId="3" fillId="0" borderId="12" xfId="0" applyFont="1" applyBorder="1" applyAlignment="1"/>
    <xf numFmtId="0" fontId="3" fillId="0" borderId="14" xfId="0" applyFont="1" applyBorder="1" applyAlignment="1"/>
    <xf numFmtId="0" fontId="2" fillId="0" borderId="15"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17" xfId="0" applyFont="1" applyBorder="1"/>
    <xf numFmtId="0" fontId="2" fillId="0" borderId="16" xfId="0" applyFont="1" applyBorder="1"/>
    <xf numFmtId="164" fontId="2" fillId="2" borderId="18" xfId="0" applyNumberFormat="1" applyFont="1" applyFill="1" applyBorder="1" applyAlignment="1" applyProtection="1">
      <protection locked="0"/>
    </xf>
    <xf numFmtId="0" fontId="2" fillId="0" borderId="0" xfId="0" applyFont="1" applyBorder="1" applyAlignment="1">
      <alignment horizontal="center" wrapText="1"/>
    </xf>
    <xf numFmtId="0" fontId="2" fillId="0" borderId="19" xfId="0" applyFont="1" applyBorder="1" applyAlignment="1">
      <alignment horizontal="center" wrapText="1"/>
    </xf>
    <xf numFmtId="0" fontId="2" fillId="0" borderId="10" xfId="0" applyFont="1" applyBorder="1" applyAlignment="1">
      <alignment horizontal="center" wrapText="1"/>
    </xf>
    <xf numFmtId="0" fontId="2" fillId="0" borderId="19" xfId="0" applyFont="1" applyBorder="1"/>
    <xf numFmtId="0" fontId="2" fillId="2" borderId="18" xfId="0" applyFont="1" applyFill="1" applyBorder="1" applyAlignment="1" applyProtection="1">
      <protection locked="0"/>
    </xf>
    <xf numFmtId="165" fontId="2" fillId="2" borderId="18" xfId="0" applyNumberFormat="1" applyFont="1" applyFill="1" applyBorder="1" applyAlignment="1" applyProtection="1">
      <protection locked="0"/>
    </xf>
    <xf numFmtId="165" fontId="2" fillId="0" borderId="0" xfId="0" applyNumberFormat="1" applyFont="1" applyBorder="1" applyAlignment="1">
      <alignment horizontal="center" wrapText="1"/>
    </xf>
    <xf numFmtId="165" fontId="2" fillId="0" borderId="19" xfId="0" applyNumberFormat="1" applyFont="1" applyBorder="1" applyAlignment="1">
      <alignment horizontal="center" wrapText="1"/>
    </xf>
    <xf numFmtId="165" fontId="2" fillId="0" borderId="10" xfId="0" applyNumberFormat="1" applyFont="1" applyBorder="1" applyAlignment="1">
      <alignment horizontal="center" wrapText="1"/>
    </xf>
    <xf numFmtId="165" fontId="2" fillId="0" borderId="6" xfId="0" applyNumberFormat="1" applyFont="1" applyBorder="1"/>
    <xf numFmtId="165" fontId="2" fillId="0" borderId="19" xfId="0" applyNumberFormat="1" applyFont="1" applyBorder="1"/>
    <xf numFmtId="165" fontId="2" fillId="0" borderId="0" xfId="0" applyNumberFormat="1" applyFont="1" applyBorder="1"/>
    <xf numFmtId="0" fontId="2" fillId="0" borderId="10" xfId="0" applyFont="1" applyBorder="1" applyAlignment="1">
      <alignment horizontal="left"/>
    </xf>
    <xf numFmtId="0" fontId="2" fillId="0" borderId="0" xfId="0" applyFont="1" applyFill="1" applyBorder="1" applyAlignment="1">
      <alignment horizontal="center" wrapText="1"/>
    </xf>
    <xf numFmtId="0" fontId="2" fillId="0" borderId="19" xfId="0" applyFont="1" applyFill="1" applyBorder="1"/>
    <xf numFmtId="0" fontId="0" fillId="0" borderId="0" xfId="0" applyFill="1"/>
    <xf numFmtId="0" fontId="2" fillId="0" borderId="10" xfId="0" applyFont="1" applyFill="1" applyBorder="1" applyAlignment="1">
      <alignment horizontal="center" wrapText="1"/>
    </xf>
    <xf numFmtId="0" fontId="2" fillId="0" borderId="0" xfId="0" applyFont="1" applyBorder="1" applyAlignment="1" applyProtection="1">
      <alignment horizontal="left"/>
      <protection locked="0"/>
    </xf>
    <xf numFmtId="0" fontId="2" fillId="0" borderId="0" xfId="0" applyFont="1" applyFill="1" applyBorder="1"/>
    <xf numFmtId="0" fontId="3" fillId="0" borderId="16" xfId="0" applyFont="1" applyBorder="1" applyAlignment="1"/>
    <xf numFmtId="0" fontId="2" fillId="0" borderId="16" xfId="0" applyFont="1" applyBorder="1" applyAlignment="1"/>
    <xf numFmtId="0" fontId="2" fillId="0" borderId="16" xfId="0" applyFont="1" applyBorder="1" applyAlignment="1" applyProtection="1">
      <alignment horizontal="left"/>
      <protection locked="0"/>
    </xf>
    <xf numFmtId="9" fontId="2" fillId="0" borderId="16" xfId="0" applyNumberFormat="1" applyFont="1" applyBorder="1" applyAlignment="1" applyProtection="1">
      <alignment horizontal="left"/>
      <protection locked="0"/>
    </xf>
    <xf numFmtId="0" fontId="3" fillId="0" borderId="16" xfId="0" applyFont="1" applyBorder="1" applyAlignment="1" applyProtection="1">
      <alignment horizontal="center"/>
      <protection locked="0"/>
    </xf>
    <xf numFmtId="0" fontId="3" fillId="0" borderId="12" xfId="0" applyFont="1" applyBorder="1" applyAlignment="1">
      <alignment horizontal="left" wrapText="1"/>
    </xf>
    <xf numFmtId="0" fontId="3" fillId="0" borderId="12" xfId="0" applyFont="1" applyBorder="1" applyAlignment="1">
      <alignment wrapText="1"/>
    </xf>
    <xf numFmtId="0" fontId="3" fillId="0" borderId="12" xfId="0" applyFont="1" applyBorder="1" applyAlignment="1">
      <alignment horizontal="center" wrapText="1"/>
    </xf>
    <xf numFmtId="0" fontId="0" fillId="0" borderId="19" xfId="0" applyBorder="1"/>
    <xf numFmtId="0" fontId="0" fillId="0" borderId="0" xfId="0" applyBorder="1"/>
    <xf numFmtId="0" fontId="2" fillId="0" borderId="20" xfId="0" applyFont="1" applyFill="1" applyBorder="1" applyAlignment="1" applyProtection="1">
      <protection locked="0"/>
    </xf>
    <xf numFmtId="165" fontId="2" fillId="2" borderId="18" xfId="1" applyNumberFormat="1" applyFont="1" applyFill="1" applyBorder="1" applyAlignment="1" applyProtection="1">
      <alignment horizontal="right"/>
      <protection locked="0"/>
    </xf>
    <xf numFmtId="0" fontId="2" fillId="0" borderId="0" xfId="0" applyFont="1" applyBorder="1" applyAlignment="1">
      <alignment horizontal="left"/>
    </xf>
    <xf numFmtId="0" fontId="2" fillId="0" borderId="21" xfId="0" applyFont="1" applyBorder="1" applyAlignment="1"/>
    <xf numFmtId="0" fontId="2" fillId="0" borderId="0" xfId="0" applyFont="1" applyBorder="1" applyAlignment="1" applyProtection="1">
      <protection locked="0"/>
    </xf>
    <xf numFmtId="0" fontId="2" fillId="0" borderId="19" xfId="0" applyFont="1" applyBorder="1" applyAlignment="1"/>
    <xf numFmtId="0" fontId="2" fillId="0" borderId="18" xfId="0" applyFont="1" applyFill="1" applyBorder="1" applyAlignment="1" applyProtection="1"/>
    <xf numFmtId="0" fontId="2" fillId="0" borderId="16" xfId="0" applyFont="1" applyFill="1" applyBorder="1" applyAlignment="1" applyProtection="1"/>
    <xf numFmtId="0" fontId="2" fillId="0" borderId="16" xfId="0" applyFont="1" applyFill="1" applyBorder="1" applyAlignment="1" applyProtection="1">
      <alignment horizontal="center" wrapText="1"/>
    </xf>
    <xf numFmtId="0" fontId="2" fillId="0" borderId="17" xfId="0" applyFont="1" applyFill="1" applyBorder="1" applyAlignment="1" applyProtection="1">
      <alignment horizontal="center" wrapText="1"/>
    </xf>
    <xf numFmtId="0" fontId="2" fillId="0" borderId="6" xfId="0" applyFont="1" applyFill="1" applyBorder="1" applyProtection="1"/>
    <xf numFmtId="168" fontId="2" fillId="0" borderId="18" xfId="1" applyNumberFormat="1" applyFont="1" applyFill="1" applyBorder="1" applyAlignment="1" applyProtection="1">
      <alignment horizontal="right"/>
      <protection locked="0"/>
    </xf>
    <xf numFmtId="3" fontId="2" fillId="0" borderId="0" xfId="0" applyNumberFormat="1" applyFont="1" applyBorder="1" applyAlignment="1">
      <alignment horizontal="left"/>
    </xf>
    <xf numFmtId="168" fontId="2" fillId="0" borderId="18" xfId="1" applyNumberFormat="1" applyFont="1" applyFill="1" applyBorder="1" applyAlignment="1" applyProtection="1">
      <alignment horizontal="right"/>
    </xf>
    <xf numFmtId="0" fontId="3" fillId="0" borderId="0" xfId="0" applyFont="1" applyBorder="1"/>
    <xf numFmtId="9" fontId="2" fillId="0" borderId="0" xfId="4" applyFont="1" applyFill="1" applyBorder="1" applyAlignment="1" applyProtection="1">
      <alignment horizontal="left"/>
    </xf>
    <xf numFmtId="0" fontId="3" fillId="3" borderId="0" xfId="0" applyFont="1" applyFill="1" applyBorder="1" applyAlignment="1"/>
    <xf numFmtId="0" fontId="9" fillId="0" borderId="0" xfId="0" applyFont="1" applyBorder="1" applyAlignment="1">
      <alignment horizontal="center"/>
    </xf>
    <xf numFmtId="0" fontId="3" fillId="3" borderId="0" xfId="0" applyFont="1" applyFill="1" applyBorder="1" applyAlignment="1">
      <alignment horizontal="left" indent="2"/>
    </xf>
    <xf numFmtId="0" fontId="2" fillId="0" borderId="0" xfId="0" applyFont="1" applyFill="1" applyBorder="1" applyAlignment="1"/>
    <xf numFmtId="0" fontId="2" fillId="0" borderId="0" xfId="0" applyFont="1" applyFill="1" applyBorder="1" applyAlignment="1">
      <alignment horizontal="center"/>
    </xf>
    <xf numFmtId="168" fontId="2" fillId="0" borderId="18" xfId="1" applyNumberFormat="1" applyFont="1" applyFill="1" applyBorder="1" applyAlignment="1" applyProtection="1"/>
    <xf numFmtId="0" fontId="2" fillId="0" borderId="10" xfId="0" applyFont="1" applyFill="1" applyBorder="1"/>
    <xf numFmtId="0" fontId="2" fillId="0" borderId="0" xfId="0" applyFont="1" applyFill="1" applyBorder="1" applyAlignment="1">
      <alignment horizontal="left" indent="2"/>
    </xf>
    <xf numFmtId="0" fontId="2" fillId="0" borderId="0" xfId="0" applyFont="1" applyBorder="1" applyAlignment="1">
      <alignment horizontal="left" vertical="top"/>
    </xf>
    <xf numFmtId="168" fontId="2" fillId="0" borderId="0" xfId="1" applyNumberFormat="1" applyFont="1" applyFill="1" applyBorder="1" applyAlignment="1" applyProtection="1"/>
    <xf numFmtId="168" fontId="0" fillId="0" borderId="0" xfId="0" applyNumberFormat="1"/>
    <xf numFmtId="0" fontId="2" fillId="0" borderId="22" xfId="0" applyFont="1" applyBorder="1" applyAlignment="1"/>
    <xf numFmtId="0" fontId="3" fillId="0" borderId="23" xfId="0" applyFont="1" applyBorder="1" applyAlignment="1"/>
    <xf numFmtId="0" fontId="3" fillId="0" borderId="23" xfId="0" applyFont="1" applyFill="1" applyBorder="1" applyAlignment="1" applyProtection="1">
      <protection locked="0"/>
    </xf>
    <xf numFmtId="0" fontId="2" fillId="0" borderId="24" xfId="0" applyFont="1" applyFill="1" applyBorder="1" applyAlignment="1">
      <alignment horizontal="left" indent="2"/>
    </xf>
    <xf numFmtId="0" fontId="2" fillId="0" borderId="16" xfId="0" applyFont="1" applyFill="1" applyBorder="1"/>
    <xf numFmtId="0" fontId="2" fillId="0" borderId="16" xfId="0" applyFont="1" applyFill="1" applyBorder="1" applyAlignment="1">
      <alignment horizontal="center"/>
    </xf>
    <xf numFmtId="168" fontId="2" fillId="0" borderId="16" xfId="1" applyNumberFormat="1" applyFont="1" applyFill="1" applyBorder="1" applyAlignment="1" applyProtection="1"/>
    <xf numFmtId="0" fontId="2" fillId="0" borderId="16" xfId="0" applyFont="1" applyFill="1" applyBorder="1" applyAlignment="1">
      <alignment horizontal="center" wrapText="1"/>
    </xf>
    <xf numFmtId="0" fontId="2" fillId="0" borderId="25" xfId="0" applyFont="1" applyBorder="1"/>
    <xf numFmtId="0" fontId="2" fillId="0" borderId="0" xfId="0" applyFont="1" applyAlignment="1">
      <alignment horizontal="center"/>
    </xf>
    <xf numFmtId="0" fontId="2" fillId="0" borderId="26" xfId="0" applyFont="1" applyBorder="1" applyAlignment="1"/>
    <xf numFmtId="0" fontId="3" fillId="0" borderId="27" xfId="0" applyFont="1" applyBorder="1" applyAlignment="1"/>
    <xf numFmtId="0" fontId="3" fillId="0" borderId="27" xfId="0" applyFont="1" applyBorder="1" applyAlignment="1">
      <alignment horizontal="center"/>
    </xf>
    <xf numFmtId="0" fontId="2" fillId="0" borderId="28" xfId="0" applyFont="1" applyBorder="1" applyAlignment="1"/>
    <xf numFmtId="0" fontId="2" fillId="0" borderId="26" xfId="0" applyFont="1" applyBorder="1"/>
    <xf numFmtId="0" fontId="2" fillId="0" borderId="27" xfId="0" applyFont="1" applyBorder="1"/>
    <xf numFmtId="0" fontId="2" fillId="0" borderId="27" xfId="0" applyFont="1" applyBorder="1" applyAlignment="1">
      <alignment horizontal="center"/>
    </xf>
    <xf numFmtId="0" fontId="2" fillId="0" borderId="28" xfId="0" applyFont="1" applyBorder="1"/>
    <xf numFmtId="0" fontId="2" fillId="0" borderId="0" xfId="0" applyFont="1" applyAlignment="1">
      <alignment vertical="top" wrapText="1"/>
    </xf>
    <xf numFmtId="0" fontId="3" fillId="0" borderId="0" xfId="0" applyFont="1" applyBorder="1" applyAlignment="1"/>
    <xf numFmtId="0" fontId="0" fillId="0" borderId="0" xfId="0" applyFont="1"/>
    <xf numFmtId="0" fontId="0" fillId="0" borderId="0" xfId="0" applyFont="1" applyAlignment="1">
      <alignment horizontal="center"/>
    </xf>
    <xf numFmtId="167" fontId="0" fillId="0" borderId="0" xfId="1" applyFont="1" applyFill="1" applyBorder="1" applyAlignment="1" applyProtection="1">
      <alignment horizontal="center"/>
    </xf>
    <xf numFmtId="167" fontId="0" fillId="0" borderId="0" xfId="1" applyFont="1" applyFill="1" applyBorder="1" applyAlignment="1" applyProtection="1">
      <alignment horizontal="right"/>
    </xf>
    <xf numFmtId="167" fontId="0" fillId="0" borderId="2" xfId="1" applyFont="1" applyFill="1" applyBorder="1" applyAlignment="1" applyProtection="1">
      <alignment horizontal="center"/>
    </xf>
    <xf numFmtId="167" fontId="0" fillId="0" borderId="2" xfId="1" applyFont="1" applyFill="1" applyBorder="1" applyAlignment="1" applyProtection="1">
      <alignment horizontal="right"/>
    </xf>
    <xf numFmtId="0" fontId="0" fillId="0" borderId="4" xfId="0" applyFont="1" applyBorder="1"/>
    <xf numFmtId="0" fontId="0" fillId="0" borderId="0" xfId="0" applyFont="1" applyBorder="1"/>
    <xf numFmtId="0" fontId="0" fillId="0" borderId="0" xfId="0" applyFont="1" applyBorder="1" applyAlignment="1"/>
    <xf numFmtId="0" fontId="0" fillId="0" borderId="7" xfId="0" applyFont="1" applyBorder="1"/>
    <xf numFmtId="0" fontId="0" fillId="0" borderId="0" xfId="0" applyFont="1" applyBorder="1" applyAlignment="1">
      <alignment horizontal="center"/>
    </xf>
    <xf numFmtId="0" fontId="11" fillId="0" borderId="29" xfId="0" applyFont="1" applyBorder="1" applyAlignment="1"/>
    <xf numFmtId="0" fontId="11" fillId="0" borderId="30" xfId="0" applyFont="1" applyBorder="1" applyAlignment="1">
      <alignment horizontal="center"/>
    </xf>
    <xf numFmtId="167" fontId="11" fillId="0" borderId="30" xfId="1" applyFont="1" applyFill="1" applyBorder="1" applyAlignment="1" applyProtection="1">
      <alignment horizontal="center"/>
    </xf>
    <xf numFmtId="167" fontId="11" fillId="0" borderId="29" xfId="1" applyFont="1" applyFill="1" applyBorder="1" applyAlignment="1" applyProtection="1">
      <alignment horizontal="center"/>
    </xf>
    <xf numFmtId="167" fontId="11" fillId="0" borderId="31" xfId="1" applyFont="1" applyFill="1" applyBorder="1" applyAlignment="1" applyProtection="1">
      <alignment horizontal="center"/>
    </xf>
    <xf numFmtId="0" fontId="0" fillId="0" borderId="21" xfId="0" applyFont="1" applyBorder="1" applyAlignment="1">
      <alignment horizontal="left" indent="1"/>
    </xf>
    <xf numFmtId="0" fontId="0" fillId="0" borderId="0" xfId="0" applyFont="1" applyBorder="1" applyAlignment="1">
      <alignment horizontal="left" indent="1"/>
    </xf>
    <xf numFmtId="168" fontId="0" fillId="0" borderId="0" xfId="1" applyNumberFormat="1" applyFont="1" applyFill="1" applyBorder="1" applyAlignment="1" applyProtection="1">
      <alignment horizontal="center"/>
    </xf>
    <xf numFmtId="0" fontId="0" fillId="0" borderId="32" xfId="0" applyFont="1" applyBorder="1" applyAlignment="1">
      <alignment horizontal="left" indent="1"/>
    </xf>
    <xf numFmtId="0" fontId="0" fillId="0" borderId="12" xfId="0" applyFont="1" applyBorder="1" applyAlignment="1">
      <alignment horizontal="center"/>
    </xf>
    <xf numFmtId="165" fontId="0" fillId="0" borderId="0" xfId="1" applyNumberFormat="1" applyFont="1" applyFill="1" applyBorder="1" applyAlignment="1" applyProtection="1">
      <alignment horizontal="center"/>
    </xf>
    <xf numFmtId="168" fontId="0" fillId="0" borderId="0" xfId="0" applyNumberFormat="1" applyFont="1" applyBorder="1" applyAlignment="1">
      <alignment horizontal="center"/>
    </xf>
    <xf numFmtId="0" fontId="2" fillId="0" borderId="0" xfId="0" applyFont="1" applyBorder="1" applyAlignment="1">
      <alignment horizontal="left" indent="2"/>
    </xf>
    <xf numFmtId="167" fontId="0" fillId="0" borderId="0" xfId="1" applyNumberFormat="1" applyFont="1" applyFill="1" applyBorder="1" applyAlignment="1" applyProtection="1">
      <alignment horizontal="center"/>
    </xf>
    <xf numFmtId="2" fontId="0" fillId="0" borderId="0" xfId="1" applyNumberFormat="1" applyFont="1" applyFill="1" applyBorder="1" applyAlignment="1" applyProtection="1">
      <alignment horizontal="center"/>
    </xf>
    <xf numFmtId="169" fontId="0" fillId="0" borderId="0" xfId="1" applyNumberFormat="1" applyFont="1" applyFill="1" applyBorder="1" applyAlignment="1" applyProtection="1">
      <alignment horizontal="center"/>
    </xf>
    <xf numFmtId="0" fontId="0" fillId="0" borderId="2" xfId="0" applyBorder="1"/>
    <xf numFmtId="0" fontId="0" fillId="0" borderId="3" xfId="0" applyBorder="1"/>
    <xf numFmtId="0" fontId="0" fillId="0" borderId="4" xfId="0" applyBorder="1"/>
    <xf numFmtId="0" fontId="11" fillId="0" borderId="0" xfId="0" applyFont="1" applyBorder="1" applyAlignment="1">
      <alignment horizontal="left" wrapText="1"/>
    </xf>
    <xf numFmtId="0" fontId="11" fillId="0" borderId="7" xfId="0" applyFont="1" applyBorder="1" applyAlignment="1">
      <alignment wrapText="1"/>
    </xf>
    <xf numFmtId="0" fontId="11" fillId="0" borderId="7" xfId="0" applyFont="1" applyBorder="1" applyAlignment="1">
      <alignment horizontal="left" wrapText="1"/>
    </xf>
    <xf numFmtId="0" fontId="0" fillId="0" borderId="7" xfId="0" applyBorder="1"/>
    <xf numFmtId="0" fontId="0" fillId="0" borderId="21" xfId="0" applyBorder="1"/>
    <xf numFmtId="0" fontId="11" fillId="0" borderId="0" xfId="0" applyFont="1" applyBorder="1"/>
    <xf numFmtId="0" fontId="0" fillId="0" borderId="0" xfId="0" applyBorder="1" applyAlignment="1">
      <alignment horizontal="center"/>
    </xf>
    <xf numFmtId="172" fontId="0" fillId="2" borderId="33" xfId="4" applyNumberFormat="1" applyFont="1" applyFill="1" applyBorder="1" applyAlignment="1" applyProtection="1">
      <protection locked="0"/>
    </xf>
    <xf numFmtId="172" fontId="0" fillId="2" borderId="34" xfId="4" applyNumberFormat="1" applyFont="1" applyFill="1" applyBorder="1" applyAlignment="1" applyProtection="1">
      <protection locked="0"/>
    </xf>
    <xf numFmtId="172" fontId="0" fillId="2" borderId="35" xfId="4" applyNumberFormat="1" applyFont="1" applyFill="1" applyBorder="1" applyAlignment="1" applyProtection="1">
      <protection locked="0"/>
    </xf>
    <xf numFmtId="172" fontId="0" fillId="2" borderId="36" xfId="4" applyNumberFormat="1" applyFont="1" applyFill="1" applyBorder="1" applyAlignment="1" applyProtection="1">
      <protection locked="0"/>
    </xf>
    <xf numFmtId="0" fontId="0" fillId="0" borderId="0" xfId="0" applyFont="1" applyFill="1" applyBorder="1" applyAlignment="1">
      <alignment horizontal="right"/>
    </xf>
    <xf numFmtId="0" fontId="0" fillId="0" borderId="0" xfId="0" applyFont="1" applyBorder="1" applyAlignment="1">
      <alignment horizontal="right"/>
    </xf>
    <xf numFmtId="0" fontId="0" fillId="0" borderId="32" xfId="0" applyBorder="1"/>
    <xf numFmtId="0" fontId="0" fillId="0" borderId="12" xfId="0" applyBorder="1"/>
    <xf numFmtId="0" fontId="0" fillId="0" borderId="12" xfId="0" applyFill="1" applyBorder="1"/>
    <xf numFmtId="0" fontId="0" fillId="0" borderId="13" xfId="0" applyBorder="1"/>
    <xf numFmtId="0" fontId="0" fillId="0" borderId="0" xfId="0" applyFill="1" applyBorder="1"/>
    <xf numFmtId="0" fontId="0" fillId="0" borderId="26" xfId="0" applyBorder="1"/>
    <xf numFmtId="0" fontId="0" fillId="0" borderId="0" xfId="0" applyFont="1" applyAlignment="1">
      <alignment horizontal="right"/>
    </xf>
    <xf numFmtId="0" fontId="11" fillId="0" borderId="0" xfId="0" applyFont="1"/>
    <xf numFmtId="0" fontId="11" fillId="0" borderId="0" xfId="0" applyFont="1" applyAlignment="1">
      <alignment horizontal="right"/>
    </xf>
    <xf numFmtId="168" fontId="0" fillId="0" borderId="0" xfId="1" applyNumberFormat="1" applyFont="1" applyFill="1" applyBorder="1" applyAlignment="1" applyProtection="1"/>
    <xf numFmtId="0" fontId="11" fillId="0" borderId="0" xfId="0" applyFont="1" applyAlignment="1">
      <alignment wrapText="1"/>
    </xf>
    <xf numFmtId="168" fontId="11" fillId="0" borderId="0" xfId="1" applyNumberFormat="1" applyFont="1" applyFill="1" applyBorder="1" applyAlignment="1" applyProtection="1">
      <alignment horizontal="center" wrapText="1"/>
    </xf>
    <xf numFmtId="0" fontId="0" fillId="4" borderId="0" xfId="0" applyFont="1" applyFill="1"/>
    <xf numFmtId="168" fontId="0" fillId="4" borderId="0" xfId="1" applyNumberFormat="1" applyFont="1" applyFill="1" applyBorder="1" applyAlignment="1" applyProtection="1"/>
    <xf numFmtId="173" fontId="0" fillId="0" borderId="0" xfId="0" applyNumberFormat="1" applyFont="1" applyAlignment="1">
      <alignment horizontal="right"/>
    </xf>
    <xf numFmtId="173" fontId="0" fillId="0" borderId="0" xfId="0" applyNumberFormat="1" applyFont="1"/>
    <xf numFmtId="0" fontId="0" fillId="0" borderId="0" xfId="0" applyFont="1" applyFill="1" applyBorder="1"/>
    <xf numFmtId="1" fontId="0" fillId="0" borderId="0" xfId="0" applyNumberFormat="1" applyFont="1"/>
    <xf numFmtId="168" fontId="0" fillId="0" borderId="0" xfId="0" applyNumberFormat="1" applyFont="1"/>
    <xf numFmtId="0" fontId="0" fillId="0" borderId="0" xfId="0" applyFont="1" applyAlignment="1">
      <alignment horizontal="left" indent="1"/>
    </xf>
    <xf numFmtId="0" fontId="0" fillId="0" borderId="12" xfId="0" applyFont="1" applyBorder="1"/>
    <xf numFmtId="1" fontId="0" fillId="0" borderId="12" xfId="0" applyNumberFormat="1" applyFont="1" applyBorder="1"/>
    <xf numFmtId="168" fontId="0" fillId="0" borderId="12" xfId="1" applyNumberFormat="1" applyFont="1" applyFill="1" applyBorder="1" applyAlignment="1" applyProtection="1"/>
    <xf numFmtId="0" fontId="0" fillId="0" borderId="0" xfId="0" applyFont="1" applyFill="1"/>
    <xf numFmtId="0" fontId="2" fillId="0" borderId="0" xfId="0" applyFont="1" applyAlignment="1">
      <alignment vertical="top"/>
    </xf>
    <xf numFmtId="0" fontId="2" fillId="0" borderId="0" xfId="0" applyFont="1" applyAlignment="1">
      <alignment horizontal="right" vertical="top" wrapText="1"/>
    </xf>
    <xf numFmtId="168" fontId="2" fillId="0" borderId="0" xfId="0" applyNumberFormat="1" applyFont="1" applyAlignment="1">
      <alignment vertical="top"/>
    </xf>
    <xf numFmtId="0" fontId="16" fillId="0" borderId="0" xfId="0" applyFont="1" applyBorder="1" applyAlignment="1"/>
    <xf numFmtId="0" fontId="16" fillId="0" borderId="0" xfId="0" applyFont="1" applyBorder="1" applyAlignment="1">
      <alignment horizontal="left"/>
    </xf>
    <xf numFmtId="0" fontId="18" fillId="0" borderId="0" xfId="0" applyFont="1" applyBorder="1" applyAlignment="1">
      <alignment horizontal="center"/>
    </xf>
    <xf numFmtId="0" fontId="16" fillId="0" borderId="37" xfId="0" applyFont="1" applyBorder="1" applyAlignment="1">
      <alignment horizontal="left"/>
    </xf>
    <xf numFmtId="0" fontId="16" fillId="0" borderId="0" xfId="0" applyFont="1" applyBorder="1" applyAlignment="1">
      <alignment horizontal="left" wrapText="1"/>
    </xf>
    <xf numFmtId="0" fontId="16" fillId="0" borderId="38" xfId="0" applyFont="1" applyBorder="1" applyAlignment="1"/>
    <xf numFmtId="169" fontId="2" fillId="0" borderId="18" xfId="1" applyNumberFormat="1" applyFont="1" applyFill="1" applyBorder="1" applyAlignment="1" applyProtection="1">
      <alignment horizontal="right"/>
      <protection locked="0"/>
    </xf>
    <xf numFmtId="168" fontId="2" fillId="5" borderId="18" xfId="1" applyNumberFormat="1" applyFont="1" applyFill="1" applyBorder="1" applyAlignment="1" applyProtection="1">
      <alignment horizontal="right"/>
      <protection locked="0"/>
    </xf>
    <xf numFmtId="168" fontId="20" fillId="0" borderId="18" xfId="1" applyNumberFormat="1" applyFont="1" applyFill="1" applyBorder="1" applyAlignment="1" applyProtection="1">
      <protection locked="0"/>
    </xf>
    <xf numFmtId="0" fontId="21" fillId="0" borderId="0" xfId="0" applyFont="1"/>
    <xf numFmtId="0" fontId="16" fillId="0" borderId="37" xfId="0" applyFont="1" applyBorder="1" applyAlignment="1"/>
    <xf numFmtId="0" fontId="19" fillId="0" borderId="39" xfId="0" applyFont="1" applyBorder="1" applyAlignment="1">
      <alignment horizontal="left"/>
    </xf>
    <xf numFmtId="168" fontId="0" fillId="6" borderId="0" xfId="1" applyNumberFormat="1" applyFont="1" applyFill="1" applyBorder="1" applyAlignment="1" applyProtection="1"/>
    <xf numFmtId="0" fontId="0" fillId="0" borderId="0" xfId="0" applyBorder="1" applyAlignment="1"/>
    <xf numFmtId="0" fontId="18" fillId="0" borderId="0" xfId="0" applyFont="1" applyBorder="1" applyAlignment="1"/>
    <xf numFmtId="0" fontId="18" fillId="0" borderId="40" xfId="0" applyFont="1" applyBorder="1" applyAlignment="1"/>
    <xf numFmtId="0" fontId="18" fillId="0" borderId="41" xfId="0" applyFont="1" applyBorder="1" applyAlignment="1"/>
    <xf numFmtId="0" fontId="18" fillId="0" borderId="42" xfId="0" applyFont="1" applyBorder="1" applyAlignment="1"/>
    <xf numFmtId="0" fontId="18" fillId="0" borderId="43" xfId="0" applyFont="1" applyBorder="1" applyAlignment="1"/>
    <xf numFmtId="0" fontId="16" fillId="0" borderId="40" xfId="0" applyFont="1" applyBorder="1" applyAlignment="1">
      <alignment horizontal="left" wrapText="1"/>
    </xf>
    <xf numFmtId="0" fontId="16" fillId="0" borderId="44" xfId="0" applyFont="1" applyBorder="1" applyAlignment="1">
      <alignment horizontal="left" wrapText="1"/>
    </xf>
    <xf numFmtId="0" fontId="18" fillId="0" borderId="42" xfId="0" applyFont="1" applyBorder="1" applyAlignment="1">
      <alignment horizontal="center"/>
    </xf>
    <xf numFmtId="0" fontId="17" fillId="0" borderId="40" xfId="0" applyFont="1" applyBorder="1" applyAlignment="1">
      <alignment horizontal="left"/>
    </xf>
    <xf numFmtId="0" fontId="18" fillId="0" borderId="44" xfId="0" applyFont="1" applyBorder="1" applyAlignment="1">
      <alignment horizontal="center"/>
    </xf>
    <xf numFmtId="0" fontId="18" fillId="0" borderId="44" xfId="0" applyFont="1" applyBorder="1" applyAlignment="1"/>
    <xf numFmtId="9" fontId="0" fillId="7" borderId="33" xfId="4" applyFont="1" applyFill="1" applyBorder="1" applyAlignment="1" applyProtection="1"/>
    <xf numFmtId="167" fontId="11" fillId="0" borderId="0" xfId="1" applyFont="1" applyFill="1" applyBorder="1" applyAlignment="1" applyProtection="1"/>
    <xf numFmtId="0" fontId="25" fillId="0" borderId="2" xfId="0" applyFont="1" applyBorder="1"/>
    <xf numFmtId="0" fontId="0" fillId="0" borderId="0" xfId="0" applyFill="1" applyBorder="1" applyAlignment="1"/>
    <xf numFmtId="0" fontId="12" fillId="0" borderId="0" xfId="0" applyFont="1" applyBorder="1"/>
    <xf numFmtId="0" fontId="11" fillId="5" borderId="2" xfId="0" applyFont="1" applyFill="1" applyBorder="1"/>
    <xf numFmtId="0" fontId="11" fillId="8" borderId="0" xfId="0" applyFont="1" applyFill="1"/>
    <xf numFmtId="0" fontId="30" fillId="0" borderId="0" xfId="3" applyFont="1"/>
    <xf numFmtId="0" fontId="30" fillId="0" borderId="45" xfId="3" applyFont="1" applyBorder="1"/>
    <xf numFmtId="0" fontId="30" fillId="0" borderId="0" xfId="3" applyFont="1" applyBorder="1"/>
    <xf numFmtId="0" fontId="30" fillId="0" borderId="0" xfId="3" applyFont="1" applyBorder="1" applyAlignment="1">
      <alignment horizontal="center"/>
    </xf>
    <xf numFmtId="0" fontId="30" fillId="0" borderId="0" xfId="3" applyFont="1" applyBorder="1" applyAlignment="1"/>
    <xf numFmtId="0" fontId="30" fillId="0" borderId="46" xfId="3" applyFont="1" applyBorder="1"/>
    <xf numFmtId="0" fontId="30" fillId="0" borderId="47" xfId="3" applyFont="1" applyBorder="1"/>
    <xf numFmtId="0" fontId="30" fillId="0" borderId="48" xfId="3" applyFont="1" applyBorder="1"/>
    <xf numFmtId="0" fontId="30" fillId="0" borderId="0" xfId="3" applyFont="1" applyBorder="1" applyAlignment="1">
      <alignment horizontal="right"/>
    </xf>
    <xf numFmtId="0" fontId="30" fillId="0" borderId="0" xfId="3" applyFont="1" applyBorder="1" applyAlignment="1">
      <alignment horizontal="left"/>
    </xf>
    <xf numFmtId="0" fontId="30" fillId="0" borderId="40" xfId="3" applyFont="1" applyBorder="1"/>
    <xf numFmtId="0" fontId="30" fillId="0" borderId="44" xfId="3" applyFont="1" applyBorder="1"/>
    <xf numFmtId="0" fontId="30" fillId="5" borderId="45" xfId="3" applyFont="1" applyFill="1" applyBorder="1"/>
    <xf numFmtId="0" fontId="30" fillId="0" borderId="41" xfId="3" applyFont="1" applyBorder="1"/>
    <xf numFmtId="0" fontId="30" fillId="0" borderId="42" xfId="3" applyFont="1" applyBorder="1"/>
    <xf numFmtId="0" fontId="30" fillId="0" borderId="43" xfId="3" applyFont="1" applyBorder="1"/>
    <xf numFmtId="0" fontId="31" fillId="0" borderId="0" xfId="3" applyFont="1"/>
    <xf numFmtId="0" fontId="30" fillId="0" borderId="0" xfId="3" applyFont="1" applyAlignment="1">
      <alignment horizontal="center"/>
    </xf>
    <xf numFmtId="0" fontId="30" fillId="0" borderId="0" xfId="3" quotePrefix="1" applyFont="1"/>
    <xf numFmtId="0" fontId="33" fillId="0" borderId="0" xfId="3" applyFont="1"/>
    <xf numFmtId="9" fontId="2" fillId="5" borderId="18" xfId="4" applyNumberFormat="1" applyFont="1" applyFill="1" applyBorder="1" applyAlignment="1" applyProtection="1">
      <alignment horizontal="right"/>
      <protection locked="0"/>
    </xf>
    <xf numFmtId="168" fontId="0" fillId="9" borderId="0" xfId="1" applyNumberFormat="1" applyFont="1" applyFill="1" applyBorder="1" applyAlignment="1" applyProtection="1"/>
    <xf numFmtId="0" fontId="2" fillId="0" borderId="0" xfId="0" applyFont="1" applyFill="1" applyBorder="1" applyAlignment="1">
      <alignment horizontal="left" wrapText="1"/>
    </xf>
    <xf numFmtId="0" fontId="2" fillId="0" borderId="0" xfId="0" applyFont="1" applyBorder="1" applyAlignment="1">
      <alignment horizontal="left" wrapText="1"/>
    </xf>
    <xf numFmtId="0" fontId="19" fillId="0" borderId="37" xfId="0" applyFont="1" applyBorder="1" applyAlignment="1">
      <alignment horizontal="left"/>
    </xf>
    <xf numFmtId="0" fontId="19" fillId="0" borderId="0" xfId="0" applyFont="1" applyBorder="1" applyAlignment="1">
      <alignment horizontal="left"/>
    </xf>
    <xf numFmtId="0" fontId="16" fillId="0" borderId="10" xfId="0" applyFont="1" applyBorder="1" applyAlignment="1">
      <alignment horizontal="left"/>
    </xf>
    <xf numFmtId="171" fontId="0" fillId="6" borderId="0" xfId="1" applyNumberFormat="1" applyFont="1" applyFill="1" applyBorder="1" applyAlignment="1" applyProtection="1"/>
    <xf numFmtId="0" fontId="2" fillId="0" borderId="27" xfId="0" applyFont="1" applyBorder="1" applyAlignment="1"/>
    <xf numFmtId="0" fontId="2" fillId="0" borderId="0" xfId="0" applyFont="1" applyFill="1" applyBorder="1" applyAlignment="1">
      <alignment horizontal="left"/>
    </xf>
    <xf numFmtId="0" fontId="2" fillId="0" borderId="6" xfId="0" applyFont="1" applyBorder="1" applyAlignment="1"/>
    <xf numFmtId="0" fontId="2" fillId="0" borderId="49" xfId="0" applyFont="1" applyBorder="1"/>
    <xf numFmtId="0" fontId="2" fillId="0" borderId="50" xfId="0" applyFont="1" applyFill="1" applyBorder="1"/>
    <xf numFmtId="170" fontId="2" fillId="0" borderId="27" xfId="0" applyNumberFormat="1" applyFont="1" applyBorder="1"/>
    <xf numFmtId="0" fontId="3" fillId="0" borderId="51" xfId="0" applyFont="1" applyBorder="1"/>
    <xf numFmtId="0" fontId="4" fillId="0" borderId="6" xfId="0" applyFont="1" applyBorder="1" applyAlignment="1">
      <alignment horizontal="center"/>
    </xf>
    <xf numFmtId="171" fontId="20" fillId="0" borderId="18" xfId="1" applyNumberFormat="1" applyFont="1" applyFill="1" applyBorder="1" applyAlignment="1" applyProtection="1">
      <alignment horizontal="center"/>
      <protection locked="0"/>
    </xf>
    <xf numFmtId="0" fontId="2" fillId="0" borderId="52" xfId="0" applyFont="1" applyBorder="1"/>
    <xf numFmtId="0" fontId="2" fillId="0" borderId="53" xfId="0" applyFont="1" applyBorder="1"/>
    <xf numFmtId="0" fontId="3" fillId="0" borderId="2" xfId="0" applyFont="1" applyBorder="1"/>
    <xf numFmtId="0" fontId="2" fillId="0" borderId="54" xfId="0" applyFont="1" applyBorder="1"/>
    <xf numFmtId="0" fontId="34" fillId="0" borderId="0" xfId="0" applyFont="1" applyBorder="1"/>
    <xf numFmtId="171" fontId="0" fillId="9" borderId="0" xfId="1" applyNumberFormat="1" applyFont="1" applyFill="1" applyBorder="1" applyAlignment="1" applyProtection="1"/>
    <xf numFmtId="0" fontId="16" fillId="7" borderId="55" xfId="0" applyFont="1" applyFill="1" applyBorder="1" applyAlignment="1">
      <alignment horizontal="center"/>
    </xf>
    <xf numFmtId="0" fontId="2" fillId="0" borderId="0" xfId="0" applyFont="1" applyBorder="1" applyAlignment="1">
      <alignment wrapText="1"/>
    </xf>
    <xf numFmtId="2" fontId="0" fillId="0" borderId="0" xfId="0" applyNumberFormat="1" applyFont="1"/>
    <xf numFmtId="0" fontId="0" fillId="0" borderId="56" xfId="0" applyFont="1" applyBorder="1" applyAlignment="1">
      <alignment horizontal="left"/>
    </xf>
    <xf numFmtId="0" fontId="0" fillId="0" borderId="0" xfId="0" applyBorder="1" applyAlignment="1">
      <alignment horizontal="left" indent="1"/>
    </xf>
    <xf numFmtId="0" fontId="2" fillId="0" borderId="57" xfId="0" applyFont="1" applyBorder="1"/>
    <xf numFmtId="0" fontId="2" fillId="0" borderId="57" xfId="0" applyFont="1" applyBorder="1" applyAlignment="1">
      <alignment horizontal="center"/>
    </xf>
    <xf numFmtId="0" fontId="2" fillId="0" borderId="40" xfId="0" applyFont="1" applyBorder="1"/>
    <xf numFmtId="0" fontId="0" fillId="0" borderId="0" xfId="1" applyNumberFormat="1" applyFont="1" applyFill="1" applyBorder="1" applyAlignment="1" applyProtection="1">
      <alignment horizontal="right"/>
    </xf>
    <xf numFmtId="0" fontId="0" fillId="0" borderId="22" xfId="0" applyFont="1" applyBorder="1" applyAlignment="1">
      <alignment horizontal="left" indent="1"/>
    </xf>
    <xf numFmtId="0" fontId="0" fillId="0" borderId="23" xfId="0" applyFont="1" applyBorder="1" applyAlignment="1">
      <alignment horizontal="center"/>
    </xf>
    <xf numFmtId="0" fontId="0" fillId="0" borderId="21" xfId="0" applyBorder="1" applyAlignment="1">
      <alignment horizontal="left" indent="1"/>
    </xf>
    <xf numFmtId="0" fontId="0" fillId="0" borderId="32" xfId="0" applyBorder="1" applyAlignment="1">
      <alignment horizontal="left" indent="1"/>
    </xf>
    <xf numFmtId="0" fontId="0" fillId="0" borderId="12" xfId="0" applyBorder="1" applyAlignment="1">
      <alignment horizontal="center"/>
    </xf>
    <xf numFmtId="0" fontId="11" fillId="0" borderId="22" xfId="0" applyFont="1" applyBorder="1" applyAlignment="1"/>
    <xf numFmtId="0" fontId="11" fillId="0" borderId="23" xfId="0" applyFont="1" applyBorder="1" applyAlignment="1">
      <alignment horizontal="center"/>
    </xf>
    <xf numFmtId="167" fontId="11" fillId="0" borderId="23" xfId="1" applyFont="1" applyFill="1" applyBorder="1" applyAlignment="1" applyProtection="1">
      <alignment horizontal="center"/>
    </xf>
    <xf numFmtId="165" fontId="11" fillId="0" borderId="22" xfId="1" applyNumberFormat="1" applyFont="1" applyFill="1" applyBorder="1" applyAlignment="1" applyProtection="1">
      <alignment horizontal="center"/>
    </xf>
    <xf numFmtId="167" fontId="11" fillId="0" borderId="58" xfId="1" applyFont="1" applyFill="1" applyBorder="1" applyAlignment="1" applyProtection="1">
      <alignment horizontal="center"/>
    </xf>
    <xf numFmtId="0" fontId="3" fillId="0" borderId="59" xfId="0" applyFont="1" applyBorder="1" applyAlignment="1">
      <alignment horizontal="left" indent="1"/>
    </xf>
    <xf numFmtId="0" fontId="2" fillId="0" borderId="60" xfId="0" applyFont="1" applyBorder="1" applyAlignment="1">
      <alignment horizontal="left" indent="1"/>
    </xf>
    <xf numFmtId="0" fontId="2" fillId="0" borderId="60" xfId="0" applyFont="1" applyBorder="1" applyAlignment="1">
      <alignment horizontal="center"/>
    </xf>
    <xf numFmtId="167" fontId="2" fillId="0" borderId="60" xfId="1" applyNumberFormat="1" applyFont="1" applyFill="1" applyBorder="1" applyAlignment="1" applyProtection="1">
      <alignment horizontal="center"/>
    </xf>
    <xf numFmtId="0" fontId="2" fillId="0" borderId="60" xfId="0" applyFont="1" applyBorder="1"/>
    <xf numFmtId="0" fontId="2" fillId="0" borderId="61" xfId="0" applyFont="1" applyBorder="1" applyAlignment="1">
      <alignment horizontal="center"/>
    </xf>
    <xf numFmtId="0" fontId="2" fillId="0" borderId="40" xfId="0" applyFont="1" applyBorder="1" applyAlignment="1">
      <alignment horizontal="left" indent="1"/>
    </xf>
    <xf numFmtId="0" fontId="2" fillId="0" borderId="0" xfId="0" applyFont="1" applyBorder="1" applyAlignment="1">
      <alignment horizontal="left" indent="1"/>
    </xf>
    <xf numFmtId="0" fontId="2" fillId="0" borderId="62" xfId="0" applyFont="1" applyBorder="1" applyAlignment="1">
      <alignment horizontal="left" indent="1"/>
    </xf>
    <xf numFmtId="0" fontId="2" fillId="0" borderId="57" xfId="0" applyFont="1" applyBorder="1" applyAlignment="1">
      <alignment horizontal="left" indent="1"/>
    </xf>
    <xf numFmtId="0" fontId="11" fillId="0" borderId="63" xfId="0" applyFont="1" applyBorder="1" applyAlignment="1">
      <alignment horizontal="left" indent="1"/>
    </xf>
    <xf numFmtId="0" fontId="0" fillId="0" borderId="64" xfId="0" applyFont="1" applyBorder="1" applyAlignment="1">
      <alignment horizontal="center"/>
    </xf>
    <xf numFmtId="0" fontId="2" fillId="0" borderId="65" xfId="0" applyFont="1" applyBorder="1"/>
    <xf numFmtId="0" fontId="2" fillId="0" borderId="66" xfId="0" applyFont="1" applyBorder="1"/>
    <xf numFmtId="0" fontId="2" fillId="0" borderId="67" xfId="0" applyFont="1" applyBorder="1"/>
    <xf numFmtId="0" fontId="2" fillId="0" borderId="50" xfId="0" applyFont="1" applyBorder="1"/>
    <xf numFmtId="1" fontId="0" fillId="0" borderId="0" xfId="1" applyNumberFormat="1" applyFont="1" applyFill="1" applyBorder="1" applyAlignment="1" applyProtection="1">
      <alignment horizontal="center"/>
    </xf>
    <xf numFmtId="0" fontId="16" fillId="0" borderId="0" xfId="3" applyFont="1"/>
    <xf numFmtId="172" fontId="0" fillId="0" borderId="23" xfId="1" applyNumberFormat="1" applyFont="1" applyFill="1" applyBorder="1" applyAlignment="1" applyProtection="1">
      <alignment horizontal="center"/>
    </xf>
    <xf numFmtId="175" fontId="0" fillId="0" borderId="0" xfId="1" applyNumberFormat="1" applyFont="1" applyFill="1" applyBorder="1" applyAlignment="1" applyProtection="1">
      <alignment horizontal="center"/>
    </xf>
    <xf numFmtId="0" fontId="0" fillId="0" borderId="0" xfId="0" applyAlignment="1">
      <alignment horizontal="right"/>
    </xf>
    <xf numFmtId="0" fontId="37" fillId="0" borderId="0" xfId="0" applyFont="1" applyAlignment="1">
      <alignment horizontal="right"/>
    </xf>
    <xf numFmtId="0" fontId="0" fillId="0" borderId="0" xfId="0" applyAlignment="1">
      <alignment horizontal="left"/>
    </xf>
    <xf numFmtId="0" fontId="0" fillId="0" borderId="0" xfId="0" applyFont="1" applyAlignment="1">
      <alignment horizontal="left"/>
    </xf>
    <xf numFmtId="0" fontId="0" fillId="0" borderId="0" xfId="1" applyNumberFormat="1" applyFont="1" applyFill="1" applyBorder="1" applyAlignment="1" applyProtection="1">
      <alignment horizontal="left"/>
    </xf>
    <xf numFmtId="0" fontId="11" fillId="8" borderId="0" xfId="0" applyFont="1" applyFill="1" applyAlignment="1">
      <alignment horizontal="left"/>
    </xf>
    <xf numFmtId="175" fontId="2" fillId="0" borderId="0" xfId="0" applyNumberFormat="1" applyFont="1" applyBorder="1"/>
    <xf numFmtId="175" fontId="2" fillId="0" borderId="19" xfId="0" applyNumberFormat="1" applyFont="1" applyFill="1" applyBorder="1"/>
    <xf numFmtId="175" fontId="2" fillId="0" borderId="0" xfId="0" applyNumberFormat="1" applyFont="1" applyFill="1" applyBorder="1"/>
    <xf numFmtId="0" fontId="2" fillId="0" borderId="0" xfId="0" applyFont="1" applyBorder="1" applyAlignment="1">
      <alignment horizontal="right"/>
    </xf>
    <xf numFmtId="0" fontId="2" fillId="0" borderId="53" xfId="0" applyFont="1" applyBorder="1" applyAlignment="1">
      <alignment horizontal="right"/>
    </xf>
    <xf numFmtId="3" fontId="0" fillId="0" borderId="0" xfId="1" applyNumberFormat="1" applyFont="1" applyFill="1" applyBorder="1" applyAlignment="1" applyProtection="1">
      <alignment horizontal="center"/>
    </xf>
    <xf numFmtId="172" fontId="0" fillId="0" borderId="0" xfId="0" applyNumberFormat="1" applyFont="1"/>
    <xf numFmtId="172" fontId="0" fillId="0" borderId="2" xfId="0" applyNumberFormat="1" applyFont="1" applyBorder="1"/>
    <xf numFmtId="172" fontId="0" fillId="0" borderId="0" xfId="0" applyNumberFormat="1" applyFont="1" applyBorder="1"/>
    <xf numFmtId="172" fontId="0" fillId="0" borderId="56" xfId="0" applyNumberFormat="1" applyFont="1" applyBorder="1" applyAlignment="1">
      <alignment horizontal="left"/>
    </xf>
    <xf numFmtId="172" fontId="11" fillId="0" borderId="31" xfId="1" applyNumberFormat="1" applyFont="1" applyFill="1" applyBorder="1" applyAlignment="1" applyProtection="1">
      <alignment horizontal="center"/>
    </xf>
    <xf numFmtId="172" fontId="0" fillId="0" borderId="0" xfId="4" applyNumberFormat="1" applyFont="1" applyFill="1" applyBorder="1" applyAlignment="1" applyProtection="1">
      <alignment horizontal="center"/>
    </xf>
    <xf numFmtId="172" fontId="11" fillId="0" borderId="31" xfId="4" applyNumberFormat="1" applyFont="1" applyFill="1" applyBorder="1" applyAlignment="1" applyProtection="1">
      <alignment horizontal="center"/>
    </xf>
    <xf numFmtId="172" fontId="11" fillId="0" borderId="58" xfId="4" applyNumberFormat="1" applyFont="1" applyFill="1" applyBorder="1" applyAlignment="1" applyProtection="1">
      <alignment horizontal="center"/>
    </xf>
    <xf numFmtId="176" fontId="0" fillId="0" borderId="12" xfId="1" applyNumberFormat="1" applyFont="1" applyFill="1" applyBorder="1" applyAlignment="1" applyProtection="1">
      <alignment horizontal="center"/>
    </xf>
    <xf numFmtId="176" fontId="2" fillId="0" borderId="0" xfId="0" applyNumberFormat="1" applyFont="1" applyBorder="1"/>
    <xf numFmtId="176" fontId="2" fillId="0" borderId="19" xfId="0" applyNumberFormat="1" applyFont="1" applyFill="1" applyBorder="1"/>
    <xf numFmtId="176" fontId="2" fillId="0" borderId="0" xfId="0" applyNumberFormat="1" applyFont="1" applyFill="1" applyBorder="1"/>
    <xf numFmtId="1" fontId="2" fillId="0" borderId="18" xfId="1" applyNumberFormat="1" applyFont="1" applyFill="1" applyBorder="1" applyAlignment="1" applyProtection="1"/>
    <xf numFmtId="1" fontId="2" fillId="0" borderId="0" xfId="0" applyNumberFormat="1" applyFont="1" applyFill="1" applyBorder="1" applyAlignment="1">
      <alignment horizontal="center" wrapText="1"/>
    </xf>
    <xf numFmtId="1" fontId="2" fillId="0" borderId="19" xfId="0" applyNumberFormat="1" applyFont="1" applyFill="1" applyBorder="1"/>
    <xf numFmtId="1" fontId="2" fillId="0" borderId="0" xfId="0" applyNumberFormat="1" applyFont="1" applyFill="1" applyBorder="1"/>
    <xf numFmtId="1" fontId="2" fillId="0" borderId="10" xfId="0" applyNumberFormat="1" applyFont="1" applyFill="1" applyBorder="1"/>
    <xf numFmtId="1" fontId="2" fillId="0" borderId="0" xfId="0" applyNumberFormat="1" applyFont="1" applyFill="1" applyBorder="1" applyAlignment="1">
      <alignment horizontal="left" indent="2"/>
    </xf>
    <xf numFmtId="1" fontId="2" fillId="0" borderId="0" xfId="0" applyNumberFormat="1" applyFont="1" applyFill="1" applyBorder="1" applyAlignment="1">
      <alignment horizontal="center"/>
    </xf>
    <xf numFmtId="9" fontId="2" fillId="0" borderId="19" xfId="0" applyNumberFormat="1" applyFont="1" applyFill="1" applyBorder="1"/>
    <xf numFmtId="9" fontId="2" fillId="0" borderId="0" xfId="0" applyNumberFormat="1" applyFont="1" applyFill="1" applyBorder="1"/>
    <xf numFmtId="9" fontId="2" fillId="0" borderId="0" xfId="0" applyNumberFormat="1" applyFont="1" applyBorder="1"/>
    <xf numFmtId="165" fontId="2" fillId="0" borderId="19" xfId="0" applyNumberFormat="1" applyFont="1" applyFill="1" applyBorder="1"/>
    <xf numFmtId="165" fontId="2" fillId="0" borderId="0" xfId="0" applyNumberFormat="1" applyFont="1" applyFill="1" applyBorder="1"/>
    <xf numFmtId="168" fontId="0" fillId="0" borderId="0" xfId="1" applyNumberFormat="1" applyFont="1" applyFill="1" applyBorder="1" applyAlignment="1" applyProtection="1">
      <alignment horizontal="right"/>
    </xf>
    <xf numFmtId="169" fontId="0" fillId="0" borderId="19" xfId="1" applyNumberFormat="1" applyFont="1" applyFill="1" applyBorder="1" applyAlignment="1" applyProtection="1">
      <alignment horizontal="right"/>
    </xf>
    <xf numFmtId="9" fontId="0" fillId="0" borderId="0" xfId="4" applyFont="1" applyFill="1" applyBorder="1" applyAlignment="1" applyProtection="1">
      <alignment horizontal="right"/>
    </xf>
    <xf numFmtId="168" fontId="0" fillId="0" borderId="12" xfId="1" applyNumberFormat="1" applyFont="1" applyFill="1" applyBorder="1" applyAlignment="1" applyProtection="1">
      <alignment horizontal="right"/>
    </xf>
    <xf numFmtId="169" fontId="0" fillId="0" borderId="13" xfId="1" applyNumberFormat="1" applyFont="1" applyFill="1" applyBorder="1" applyAlignment="1" applyProtection="1">
      <alignment horizontal="right"/>
    </xf>
    <xf numFmtId="165" fontId="0" fillId="0" borderId="0" xfId="1" applyNumberFormat="1" applyFont="1" applyFill="1" applyBorder="1" applyAlignment="1" applyProtection="1">
      <alignment horizontal="right"/>
    </xf>
    <xf numFmtId="167" fontId="11" fillId="0" borderId="30" xfId="1" applyFont="1" applyFill="1" applyBorder="1" applyAlignment="1" applyProtection="1">
      <alignment horizontal="right"/>
    </xf>
    <xf numFmtId="165" fontId="11" fillId="0" borderId="29" xfId="1" applyNumberFormat="1" applyFont="1" applyFill="1" applyBorder="1" applyAlignment="1" applyProtection="1">
      <alignment horizontal="right"/>
    </xf>
    <xf numFmtId="167" fontId="11" fillId="0" borderId="31" xfId="1" applyFont="1" applyFill="1" applyBorder="1" applyAlignment="1" applyProtection="1">
      <alignment horizontal="right"/>
    </xf>
    <xf numFmtId="167" fontId="0" fillId="0" borderId="12" xfId="1" applyNumberFormat="1" applyFont="1" applyFill="1" applyBorder="1" applyAlignment="1" applyProtection="1">
      <alignment horizontal="right"/>
    </xf>
    <xf numFmtId="175" fontId="0" fillId="0" borderId="12" xfId="1" applyNumberFormat="1" applyFont="1" applyFill="1" applyBorder="1" applyAlignment="1" applyProtection="1">
      <alignment horizontal="right"/>
    </xf>
    <xf numFmtId="0" fontId="38" fillId="0" borderId="0" xfId="0" applyFont="1" applyAlignment="1">
      <alignment horizontal="center"/>
    </xf>
    <xf numFmtId="0" fontId="38" fillId="0" borderId="0" xfId="0" applyFont="1" applyAlignment="1">
      <alignment horizontal="center" vertical="center"/>
    </xf>
    <xf numFmtId="0" fontId="2" fillId="0" borderId="53" xfId="0" applyFont="1" applyBorder="1" applyAlignment="1">
      <alignment horizontal="center"/>
    </xf>
    <xf numFmtId="0" fontId="30" fillId="0" borderId="0" xfId="3" applyFont="1" applyAlignment="1"/>
    <xf numFmtId="168" fontId="20" fillId="0" borderId="0" xfId="1" applyNumberFormat="1" applyFont="1" applyFill="1" applyBorder="1" applyAlignment="1" applyProtection="1">
      <protection locked="0"/>
    </xf>
    <xf numFmtId="168" fontId="11" fillId="0" borderId="18" xfId="1" applyNumberFormat="1" applyFont="1" applyFill="1" applyBorder="1" applyAlignment="1" applyProtection="1">
      <protection locked="0"/>
    </xf>
    <xf numFmtId="1" fontId="38" fillId="0" borderId="0" xfId="0" applyNumberFormat="1" applyFont="1" applyAlignment="1">
      <alignment horizontal="center" vertical="center"/>
    </xf>
    <xf numFmtId="1" fontId="2" fillId="0" borderId="0" xfId="0" applyNumberFormat="1" applyFont="1" applyBorder="1"/>
    <xf numFmtId="165" fontId="38" fillId="0" borderId="0" xfId="0" applyNumberFormat="1" applyFont="1" applyAlignment="1">
      <alignment horizontal="center" vertical="center"/>
    </xf>
    <xf numFmtId="175" fontId="38" fillId="0" borderId="0" xfId="0" applyNumberFormat="1" applyFont="1" applyAlignment="1">
      <alignment horizontal="center" vertical="center"/>
    </xf>
    <xf numFmtId="3" fontId="38" fillId="0" borderId="0" xfId="0" applyNumberFormat="1" applyFont="1" applyAlignment="1">
      <alignment horizontal="center" vertical="center"/>
    </xf>
    <xf numFmtId="3" fontId="2" fillId="0" borderId="19" xfId="0" applyNumberFormat="1" applyFont="1" applyFill="1" applyBorder="1"/>
    <xf numFmtId="3" fontId="2" fillId="0" borderId="0" xfId="0" applyNumberFormat="1" applyFont="1" applyFill="1" applyBorder="1"/>
    <xf numFmtId="3" fontId="2" fillId="0" borderId="0" xfId="0" applyNumberFormat="1" applyFont="1" applyBorder="1"/>
    <xf numFmtId="165" fontId="11" fillId="0" borderId="22" xfId="1" applyNumberFormat="1" applyFont="1" applyFill="1" applyBorder="1" applyAlignment="1" applyProtection="1">
      <alignment horizontal="right"/>
    </xf>
    <xf numFmtId="167" fontId="11" fillId="0" borderId="58" xfId="1" applyFont="1" applyFill="1" applyBorder="1" applyAlignment="1" applyProtection="1">
      <alignment horizontal="right"/>
    </xf>
    <xf numFmtId="169" fontId="0" fillId="0" borderId="68" xfId="1" applyNumberFormat="1" applyFont="1" applyFill="1" applyBorder="1" applyAlignment="1" applyProtection="1">
      <alignment horizontal="right"/>
    </xf>
    <xf numFmtId="169" fontId="0" fillId="0" borderId="69" xfId="1" applyNumberFormat="1" applyFont="1" applyFill="1" applyBorder="1" applyAlignment="1" applyProtection="1">
      <alignment horizontal="right"/>
    </xf>
    <xf numFmtId="169" fontId="0" fillId="0" borderId="70" xfId="1" applyNumberFormat="1" applyFont="1" applyFill="1" applyBorder="1" applyAlignment="1" applyProtection="1">
      <alignment horizontal="right"/>
    </xf>
    <xf numFmtId="0" fontId="2" fillId="0" borderId="0" xfId="0" applyFont="1" applyFill="1" applyBorder="1" applyProtection="1"/>
    <xf numFmtId="0" fontId="2" fillId="0" borderId="37" xfId="0" applyFont="1" applyFill="1" applyBorder="1" applyProtection="1"/>
    <xf numFmtId="0" fontId="2" fillId="0" borderId="0" xfId="0" applyFont="1" applyFill="1" applyBorder="1" applyAlignment="1" applyProtection="1"/>
    <xf numFmtId="0" fontId="2" fillId="0" borderId="0" xfId="0" applyFont="1" applyFill="1" applyBorder="1" applyAlignment="1" applyProtection="1">
      <alignment horizontal="center" wrapText="1"/>
    </xf>
    <xf numFmtId="0" fontId="2" fillId="0" borderId="40" xfId="0" applyFont="1" applyFill="1" applyBorder="1" applyAlignment="1" applyProtection="1"/>
    <xf numFmtId="0" fontId="2" fillId="0" borderId="19" xfId="0" applyFont="1" applyFill="1" applyBorder="1" applyAlignment="1" applyProtection="1">
      <alignment horizontal="center" wrapText="1"/>
    </xf>
    <xf numFmtId="168" fontId="2" fillId="0" borderId="27" xfId="1" applyNumberFormat="1" applyFont="1" applyFill="1" applyBorder="1" applyAlignment="1" applyProtection="1"/>
    <xf numFmtId="0" fontId="2" fillId="0" borderId="27" xfId="0" applyFont="1" applyBorder="1" applyAlignment="1">
      <alignment horizontal="center" wrapText="1"/>
    </xf>
    <xf numFmtId="0" fontId="2" fillId="0" borderId="39" xfId="0" applyFont="1" applyBorder="1"/>
    <xf numFmtId="0" fontId="3" fillId="3" borderId="37" xfId="0" applyFont="1" applyFill="1" applyBorder="1" applyAlignment="1"/>
    <xf numFmtId="0" fontId="2" fillId="0" borderId="37" xfId="0" applyFont="1" applyFill="1" applyBorder="1" applyAlignment="1"/>
    <xf numFmtId="0" fontId="2" fillId="0" borderId="71" xfId="0" applyFont="1" applyBorder="1" applyAlignment="1"/>
    <xf numFmtId="0" fontId="3" fillId="0" borderId="57" xfId="0" applyFont="1" applyBorder="1" applyAlignment="1"/>
    <xf numFmtId="0" fontId="3" fillId="0" borderId="57" xfId="0" applyFont="1" applyBorder="1"/>
    <xf numFmtId="0" fontId="2" fillId="0" borderId="19" xfId="0" applyFont="1" applyFill="1" applyBorder="1" applyProtection="1"/>
    <xf numFmtId="0" fontId="2" fillId="0" borderId="72" xfId="0" applyFont="1" applyFill="1" applyBorder="1"/>
    <xf numFmtId="0" fontId="2" fillId="0" borderId="73" xfId="0" applyFont="1" applyBorder="1"/>
    <xf numFmtId="0" fontId="2" fillId="0" borderId="0" xfId="0" applyFont="1" applyFill="1" applyAlignment="1">
      <alignment horizontal="center"/>
    </xf>
    <xf numFmtId="0" fontId="2" fillId="0" borderId="74" xfId="0" applyFont="1" applyBorder="1" applyAlignment="1">
      <alignment horizontal="center"/>
    </xf>
    <xf numFmtId="170" fontId="2" fillId="0" borderId="75" xfId="0" applyNumberFormat="1" applyFont="1" applyBorder="1"/>
    <xf numFmtId="3" fontId="38" fillId="0" borderId="44" xfId="0" applyNumberFormat="1" applyFont="1" applyBorder="1" applyAlignment="1">
      <alignment horizontal="center" vertical="center"/>
    </xf>
    <xf numFmtId="175" fontId="38" fillId="0" borderId="44" xfId="0" applyNumberFormat="1" applyFont="1" applyBorder="1" applyAlignment="1">
      <alignment horizontal="center" vertical="center"/>
    </xf>
    <xf numFmtId="0" fontId="38" fillId="0" borderId="44" xfId="0" applyFont="1" applyBorder="1" applyAlignment="1">
      <alignment horizontal="center" vertical="center"/>
    </xf>
    <xf numFmtId="167" fontId="2" fillId="0" borderId="18" xfId="1" applyFont="1" applyFill="1" applyBorder="1" applyAlignment="1" applyProtection="1">
      <alignment horizontal="right"/>
    </xf>
    <xf numFmtId="167" fontId="20" fillId="0" borderId="0" xfId="1"/>
    <xf numFmtId="167" fontId="2" fillId="0" borderId="0" xfId="1" applyFont="1"/>
    <xf numFmtId="167" fontId="2" fillId="0" borderId="18" xfId="1" applyFont="1" applyFill="1" applyBorder="1" applyAlignment="1" applyProtection="1"/>
    <xf numFmtId="167" fontId="2" fillId="0" borderId="76" xfId="1" applyFont="1" applyFill="1" applyBorder="1" applyAlignment="1" applyProtection="1">
      <alignment horizontal="center"/>
    </xf>
    <xf numFmtId="167" fontId="2" fillId="0" borderId="77" xfId="1" applyFont="1" applyFill="1" applyBorder="1" applyAlignment="1" applyProtection="1">
      <alignment horizontal="center"/>
    </xf>
    <xf numFmtId="165" fontId="2" fillId="10" borderId="18" xfId="0" applyNumberFormat="1" applyFont="1" applyFill="1" applyBorder="1" applyAlignment="1" applyProtection="1">
      <protection locked="0"/>
    </xf>
    <xf numFmtId="165" fontId="2" fillId="10" borderId="56" xfId="0" applyNumberFormat="1" applyFont="1" applyFill="1" applyBorder="1" applyAlignment="1" applyProtection="1">
      <protection locked="0"/>
    </xf>
    <xf numFmtId="9" fontId="20" fillId="5" borderId="18" xfId="4" applyFill="1" applyBorder="1" applyAlignment="1" applyProtection="1">
      <alignment horizontal="right"/>
      <protection locked="0"/>
    </xf>
    <xf numFmtId="169" fontId="2" fillId="0" borderId="18" xfId="1" applyNumberFormat="1" applyFont="1" applyFill="1" applyBorder="1" applyAlignment="1" applyProtection="1"/>
    <xf numFmtId="169" fontId="2" fillId="0" borderId="77" xfId="1" applyNumberFormat="1" applyFont="1" applyFill="1" applyBorder="1" applyAlignment="1" applyProtection="1">
      <alignment horizontal="center"/>
    </xf>
    <xf numFmtId="171" fontId="2" fillId="0" borderId="77" xfId="1" applyNumberFormat="1" applyFont="1" applyFill="1" applyBorder="1" applyAlignment="1" applyProtection="1">
      <alignment horizontal="center"/>
    </xf>
    <xf numFmtId="168" fontId="2" fillId="0" borderId="77" xfId="1" applyNumberFormat="1" applyFont="1" applyFill="1" applyBorder="1" applyAlignment="1" applyProtection="1">
      <alignment horizontal="center"/>
    </xf>
    <xf numFmtId="169" fontId="2" fillId="0" borderId="27" xfId="1" applyNumberFormat="1" applyFont="1" applyFill="1" applyBorder="1" applyAlignment="1" applyProtection="1">
      <alignment horizontal="center"/>
    </xf>
    <xf numFmtId="169" fontId="2" fillId="0" borderId="18" xfId="1" applyNumberFormat="1" applyFont="1" applyFill="1" applyBorder="1" applyAlignment="1" applyProtection="1">
      <alignment horizontal="right"/>
    </xf>
    <xf numFmtId="171" fontId="2" fillId="0" borderId="18" xfId="1" applyNumberFormat="1" applyFont="1" applyFill="1" applyBorder="1" applyAlignment="1" applyProtection="1">
      <alignment horizontal="right"/>
    </xf>
    <xf numFmtId="171" fontId="2" fillId="0" borderId="18" xfId="1" applyNumberFormat="1" applyFont="1" applyFill="1" applyBorder="1" applyAlignment="1" applyProtection="1"/>
    <xf numFmtId="171" fontId="2" fillId="0" borderId="78" xfId="1" applyNumberFormat="1" applyFont="1" applyFill="1" applyBorder="1" applyAlignment="1" applyProtection="1">
      <alignment horizontal="right"/>
    </xf>
    <xf numFmtId="167" fontId="2" fillId="0" borderId="60" xfId="1" applyFont="1" applyFill="1" applyBorder="1" applyAlignment="1" applyProtection="1">
      <alignment horizontal="center"/>
    </xf>
    <xf numFmtId="165" fontId="2" fillId="10" borderId="79" xfId="0" applyNumberFormat="1" applyFont="1" applyFill="1" applyBorder="1" applyAlignment="1" applyProtection="1">
      <protection locked="0"/>
    </xf>
    <xf numFmtId="170" fontId="2" fillId="0" borderId="75" xfId="1" applyNumberFormat="1" applyFont="1" applyBorder="1"/>
    <xf numFmtId="170" fontId="2" fillId="0" borderId="27" xfId="1" applyNumberFormat="1" applyFont="1" applyBorder="1"/>
    <xf numFmtId="168" fontId="2" fillId="0" borderId="0" xfId="0" applyNumberFormat="1" applyFont="1" applyAlignment="1"/>
    <xf numFmtId="0" fontId="16" fillId="0" borderId="0" xfId="0" applyFont="1" applyFill="1" applyBorder="1" applyAlignment="1">
      <alignment horizontal="center"/>
    </xf>
    <xf numFmtId="0" fontId="16" fillId="0" borderId="80" xfId="0" applyFont="1" applyFill="1" applyBorder="1" applyAlignment="1">
      <alignment horizontal="center"/>
    </xf>
    <xf numFmtId="2" fontId="2" fillId="0" borderId="18" xfId="1" applyNumberFormat="1" applyFont="1" applyFill="1" applyBorder="1" applyAlignment="1" applyProtection="1"/>
    <xf numFmtId="0" fontId="0" fillId="0" borderId="0" xfId="0" applyNumberFormat="1"/>
    <xf numFmtId="9" fontId="2" fillId="0" borderId="18" xfId="4" applyNumberFormat="1" applyFont="1" applyFill="1" applyBorder="1" applyAlignment="1" applyProtection="1"/>
    <xf numFmtId="2" fontId="2" fillId="0" borderId="16" xfId="0" applyNumberFormat="1" applyFont="1" applyBorder="1"/>
    <xf numFmtId="165" fontId="2" fillId="0" borderId="18" xfId="1" applyNumberFormat="1" applyFont="1" applyFill="1" applyBorder="1" applyAlignment="1" applyProtection="1"/>
    <xf numFmtId="1" fontId="2" fillId="0" borderId="27" xfId="1" applyNumberFormat="1" applyFont="1" applyFill="1" applyBorder="1" applyAlignment="1" applyProtection="1"/>
    <xf numFmtId="168" fontId="2" fillId="0" borderId="81" xfId="1" applyNumberFormat="1" applyFont="1" applyFill="1" applyBorder="1" applyAlignment="1" applyProtection="1">
      <alignment horizontal="right"/>
    </xf>
    <xf numFmtId="168" fontId="2" fillId="0" borderId="82" xfId="1" applyNumberFormat="1" applyFont="1" applyFill="1" applyBorder="1" applyAlignment="1" applyProtection="1">
      <alignment horizontal="right"/>
    </xf>
    <xf numFmtId="168" fontId="2" fillId="0" borderId="83" xfId="1" applyNumberFormat="1" applyFont="1" applyFill="1" applyBorder="1" applyAlignment="1" applyProtection="1">
      <alignment horizontal="right"/>
    </xf>
    <xf numFmtId="176" fontId="2" fillId="0" borderId="18" xfId="1" applyNumberFormat="1" applyFont="1" applyFill="1" applyBorder="1" applyAlignment="1" applyProtection="1">
      <alignment horizontal="right"/>
    </xf>
    <xf numFmtId="176" fontId="2" fillId="0" borderId="18" xfId="1" applyNumberFormat="1" applyFont="1" applyFill="1" applyBorder="1" applyAlignment="1" applyProtection="1"/>
    <xf numFmtId="165" fontId="2" fillId="0" borderId="0" xfId="0" applyNumberFormat="1" applyFont="1"/>
    <xf numFmtId="165" fontId="2" fillId="0" borderId="18" xfId="1" applyNumberFormat="1" applyFont="1" applyFill="1" applyBorder="1" applyAlignment="1" applyProtection="1">
      <alignment horizontal="right"/>
    </xf>
    <xf numFmtId="172" fontId="2" fillId="0" borderId="18" xfId="1" applyNumberFormat="1" applyFont="1" applyFill="1" applyBorder="1" applyAlignment="1" applyProtection="1">
      <alignment horizontal="right"/>
    </xf>
    <xf numFmtId="172" fontId="2" fillId="0" borderId="18" xfId="1" applyNumberFormat="1" applyFont="1" applyFill="1" applyBorder="1" applyAlignment="1" applyProtection="1"/>
    <xf numFmtId="1" fontId="2" fillId="0" borderId="18" xfId="1" applyNumberFormat="1" applyFont="1" applyFill="1" applyBorder="1" applyAlignment="1" applyProtection="1">
      <alignment horizontal="right"/>
    </xf>
    <xf numFmtId="9" fontId="2" fillId="0" borderId="18" xfId="1" applyNumberFormat="1" applyFont="1" applyFill="1" applyBorder="1" applyAlignment="1" applyProtection="1"/>
    <xf numFmtId="9" fontId="2" fillId="0" borderId="18" xfId="4" applyFont="1" applyFill="1" applyBorder="1" applyAlignment="1" applyProtection="1"/>
    <xf numFmtId="0" fontId="2" fillId="0" borderId="18" xfId="1" applyNumberFormat="1" applyFont="1" applyFill="1" applyBorder="1" applyAlignment="1" applyProtection="1"/>
    <xf numFmtId="0" fontId="2" fillId="0" borderId="84" xfId="0" applyFont="1" applyBorder="1" applyAlignment="1"/>
    <xf numFmtId="0" fontId="2" fillId="0" borderId="84" xfId="0" applyFont="1" applyBorder="1" applyAlignment="1">
      <alignment horizontal="center"/>
    </xf>
    <xf numFmtId="0" fontId="2" fillId="0" borderId="85" xfId="0" applyFont="1" applyFill="1" applyBorder="1" applyAlignment="1" applyProtection="1">
      <alignment horizontal="center" wrapText="1"/>
    </xf>
    <xf numFmtId="0" fontId="2" fillId="0" borderId="44" xfId="0" applyFont="1" applyBorder="1" applyAlignment="1">
      <alignment horizontal="center" wrapText="1"/>
    </xf>
    <xf numFmtId="0" fontId="2" fillId="0" borderId="37" xfId="0" applyFont="1" applyFill="1" applyBorder="1" applyAlignment="1" applyProtection="1"/>
    <xf numFmtId="0" fontId="2" fillId="0" borderId="21" xfId="0" applyFont="1" applyFill="1" applyBorder="1" applyAlignment="1" applyProtection="1">
      <alignment horizontal="center" wrapText="1"/>
    </xf>
    <xf numFmtId="0" fontId="2" fillId="0" borderId="14" xfId="0" applyFont="1" applyBorder="1" applyAlignment="1"/>
    <xf numFmtId="175" fontId="2" fillId="10" borderId="86" xfId="0" applyNumberFormat="1" applyFont="1" applyFill="1" applyBorder="1" applyAlignment="1" applyProtection="1">
      <protection locked="0"/>
    </xf>
    <xf numFmtId="175" fontId="38" fillId="0" borderId="87" xfId="0" applyNumberFormat="1" applyFont="1" applyBorder="1" applyAlignment="1">
      <alignment horizontal="center" vertical="center"/>
    </xf>
    <xf numFmtId="0" fontId="2" fillId="0" borderId="15" xfId="0" applyFont="1" applyBorder="1" applyAlignment="1">
      <alignment horizontal="center" wrapText="1"/>
    </xf>
    <xf numFmtId="0" fontId="2" fillId="0" borderId="14" xfId="0" applyFont="1" applyFill="1" applyBorder="1" applyProtection="1"/>
    <xf numFmtId="0" fontId="2" fillId="0" borderId="17" xfId="0" applyFont="1" applyFill="1" applyBorder="1" applyProtection="1"/>
    <xf numFmtId="0" fontId="2" fillId="0" borderId="16" xfId="0" applyFont="1" applyFill="1" applyBorder="1" applyProtection="1"/>
    <xf numFmtId="175" fontId="38" fillId="0" borderId="16" xfId="0" applyNumberFormat="1" applyFont="1" applyBorder="1" applyAlignment="1">
      <alignment horizontal="center" vertical="center"/>
    </xf>
    <xf numFmtId="0" fontId="38" fillId="0" borderId="87" xfId="0" applyFont="1" applyBorder="1" applyAlignment="1">
      <alignment horizontal="center" vertical="center"/>
    </xf>
    <xf numFmtId="3" fontId="37" fillId="0" borderId="44" xfId="0" applyNumberFormat="1" applyFont="1" applyBorder="1" applyAlignment="1">
      <alignment horizontal="center" vertical="center"/>
    </xf>
    <xf numFmtId="3" fontId="37" fillId="0" borderId="0" xfId="0" applyNumberFormat="1" applyFont="1" applyAlignment="1">
      <alignment horizontal="center" vertical="center"/>
    </xf>
    <xf numFmtId="0" fontId="2" fillId="0" borderId="14" xfId="1" applyNumberFormat="1" applyFont="1" applyBorder="1" applyAlignment="1"/>
    <xf numFmtId="169" fontId="2" fillId="11" borderId="18" xfId="1" applyNumberFormat="1" applyFont="1" applyFill="1" applyBorder="1" applyAlignment="1" applyProtection="1">
      <alignment horizontal="right"/>
      <protection locked="0"/>
    </xf>
    <xf numFmtId="165" fontId="2" fillId="12" borderId="18" xfId="0" applyNumberFormat="1" applyFont="1" applyFill="1" applyBorder="1" applyAlignment="1" applyProtection="1">
      <protection locked="0"/>
    </xf>
    <xf numFmtId="165" fontId="2" fillId="11" borderId="56" xfId="0" applyNumberFormat="1" applyFont="1" applyFill="1" applyBorder="1" applyAlignment="1" applyProtection="1">
      <protection locked="0"/>
    </xf>
    <xf numFmtId="165" fontId="2" fillId="11" borderId="79" xfId="0" applyNumberFormat="1" applyFont="1" applyFill="1" applyBorder="1" applyAlignment="1" applyProtection="1">
      <protection locked="0"/>
    </xf>
    <xf numFmtId="165" fontId="2" fillId="11" borderId="77" xfId="0" applyNumberFormat="1" applyFont="1" applyFill="1" applyBorder="1" applyAlignment="1" applyProtection="1">
      <protection locked="0"/>
    </xf>
    <xf numFmtId="0" fontId="2" fillId="0" borderId="0" xfId="0" applyFont="1" applyBorder="1" applyAlignment="1">
      <alignment vertical="center"/>
    </xf>
    <xf numFmtId="0" fontId="2" fillId="0" borderId="0" xfId="0" applyFont="1" applyAlignment="1">
      <alignment vertical="center"/>
    </xf>
    <xf numFmtId="0" fontId="46" fillId="0" borderId="0" xfId="0" applyFont="1" applyBorder="1" applyAlignment="1">
      <alignment vertical="center"/>
    </xf>
    <xf numFmtId="0" fontId="2" fillId="0" borderId="46" xfId="0" applyFont="1" applyBorder="1" applyAlignment="1"/>
    <xf numFmtId="0" fontId="2" fillId="0" borderId="47" xfId="0" applyFont="1" applyBorder="1" applyAlignment="1"/>
    <xf numFmtId="0" fontId="3" fillId="0" borderId="88" xfId="0" applyFont="1" applyBorder="1" applyAlignment="1">
      <alignment horizontal="center"/>
    </xf>
    <xf numFmtId="0" fontId="3" fillId="0" borderId="89" xfId="0" applyFont="1" applyBorder="1" applyAlignment="1">
      <alignment horizontal="center"/>
    </xf>
    <xf numFmtId="0" fontId="2" fillId="0" borderId="90" xfId="0" applyFont="1" applyBorder="1" applyAlignment="1"/>
    <xf numFmtId="0" fontId="2" fillId="0" borderId="91" xfId="0" applyFont="1" applyBorder="1" applyAlignment="1"/>
    <xf numFmtId="0" fontId="2" fillId="0" borderId="92" xfId="0" applyFont="1" applyBorder="1" applyAlignment="1"/>
    <xf numFmtId="0" fontId="41" fillId="0" borderId="93" xfId="0" applyFont="1" applyBorder="1" applyAlignment="1">
      <alignment horizontal="center" vertical="center"/>
    </xf>
    <xf numFmtId="0" fontId="16" fillId="0" borderId="0" xfId="0" applyFont="1" applyBorder="1" applyAlignment="1">
      <alignment horizontal="center" vertical="center"/>
    </xf>
    <xf numFmtId="0" fontId="2" fillId="0" borderId="93" xfId="0" applyFont="1" applyBorder="1" applyAlignment="1">
      <alignment vertical="center"/>
    </xf>
    <xf numFmtId="0" fontId="2" fillId="0" borderId="94" xfId="0" applyFont="1" applyBorder="1" applyAlignment="1">
      <alignment vertical="center"/>
    </xf>
    <xf numFmtId="0" fontId="2" fillId="0" borderId="93" xfId="0" applyFont="1" applyBorder="1" applyAlignment="1"/>
    <xf numFmtId="0" fontId="2" fillId="0" borderId="94" xfId="0" applyFont="1" applyBorder="1" applyAlignment="1"/>
    <xf numFmtId="0" fontId="2" fillId="0" borderId="95" xfId="0" applyFont="1" applyBorder="1" applyAlignment="1"/>
    <xf numFmtId="0" fontId="2" fillId="0" borderId="96" xfId="0" applyFont="1" applyBorder="1" applyAlignment="1"/>
    <xf numFmtId="0" fontId="2" fillId="0" borderId="97" xfId="0" applyFont="1" applyBorder="1" applyAlignment="1"/>
    <xf numFmtId="0" fontId="42" fillId="0" borderId="98" xfId="0" applyFont="1" applyBorder="1" applyAlignment="1">
      <alignment horizontal="center" vertical="center"/>
    </xf>
    <xf numFmtId="168" fontId="2" fillId="5" borderId="18" xfId="1" applyNumberFormat="1" applyFont="1" applyFill="1" applyBorder="1" applyAlignment="1" applyProtection="1">
      <alignment horizontal="center"/>
      <protection locked="0"/>
    </xf>
    <xf numFmtId="0" fontId="0" fillId="0" borderId="0" xfId="0" applyBorder="1" applyAlignment="1">
      <alignment vertical="center"/>
    </xf>
    <xf numFmtId="168" fontId="0" fillId="0" borderId="23" xfId="1" applyNumberFormat="1" applyFont="1" applyFill="1" applyBorder="1" applyAlignment="1" applyProtection="1">
      <alignment horizontal="right"/>
    </xf>
    <xf numFmtId="169" fontId="0" fillId="0" borderId="23" xfId="1" applyNumberFormat="1" applyFont="1" applyFill="1" applyBorder="1" applyAlignment="1" applyProtection="1">
      <alignment horizontal="right"/>
    </xf>
    <xf numFmtId="169" fontId="0" fillId="0" borderId="0" xfId="1" applyNumberFormat="1" applyFont="1" applyFill="1" applyBorder="1" applyAlignment="1" applyProtection="1">
      <alignment horizontal="right"/>
    </xf>
    <xf numFmtId="169" fontId="0" fillId="0" borderId="12" xfId="1" applyNumberFormat="1" applyFont="1" applyFill="1" applyBorder="1" applyAlignment="1" applyProtection="1">
      <alignment horizontal="right"/>
    </xf>
    <xf numFmtId="172" fontId="0" fillId="0" borderId="99" xfId="4" applyNumberFormat="1" applyFont="1" applyFill="1" applyBorder="1" applyAlignment="1" applyProtection="1">
      <alignment horizontal="center"/>
    </xf>
    <xf numFmtId="172" fontId="0" fillId="0" borderId="100" xfId="4" applyNumberFormat="1" applyFont="1" applyFill="1" applyBorder="1" applyAlignment="1" applyProtection="1">
      <alignment horizontal="center"/>
    </xf>
    <xf numFmtId="172" fontId="0" fillId="0" borderId="101" xfId="4" applyNumberFormat="1" applyFont="1" applyFill="1" applyBorder="1" applyAlignment="1" applyProtection="1">
      <alignment horizontal="center"/>
    </xf>
    <xf numFmtId="165" fontId="20" fillId="13" borderId="0" xfId="1" applyNumberFormat="1" applyFont="1" applyFill="1" applyBorder="1" applyAlignment="1" applyProtection="1">
      <alignment horizontal="right"/>
    </xf>
    <xf numFmtId="175" fontId="20" fillId="13" borderId="12" xfId="1" applyNumberFormat="1" applyFont="1" applyFill="1" applyBorder="1" applyAlignment="1" applyProtection="1">
      <alignment horizontal="right"/>
    </xf>
    <xf numFmtId="167" fontId="11" fillId="0" borderId="0" xfId="1" applyFont="1" applyFill="1" applyBorder="1" applyAlignment="1" applyProtection="1">
      <alignment horizontal="center"/>
    </xf>
    <xf numFmtId="165" fontId="11" fillId="0" borderId="0" xfId="1" applyNumberFormat="1" applyFont="1" applyFill="1" applyBorder="1" applyAlignment="1" applyProtection="1">
      <alignment horizontal="center"/>
    </xf>
    <xf numFmtId="0" fontId="0" fillId="0" borderId="102" xfId="4" applyNumberFormat="1" applyFont="1" applyFill="1" applyBorder="1" applyAlignment="1" applyProtection="1">
      <alignment horizontal="center"/>
    </xf>
    <xf numFmtId="175" fontId="0" fillId="0" borderId="85" xfId="4" applyNumberFormat="1" applyFont="1" applyFill="1" applyBorder="1" applyAlignment="1" applyProtection="1">
      <alignment horizontal="center"/>
    </xf>
    <xf numFmtId="165" fontId="0" fillId="0" borderId="85" xfId="4" applyNumberFormat="1" applyFont="1" applyFill="1" applyBorder="1" applyAlignment="1" applyProtection="1">
      <alignment horizontal="center"/>
    </xf>
    <xf numFmtId="1" fontId="0" fillId="0" borderId="85" xfId="4" applyNumberFormat="1" applyFont="1" applyFill="1" applyBorder="1" applyAlignment="1" applyProtection="1">
      <alignment horizontal="center"/>
    </xf>
    <xf numFmtId="165" fontId="0" fillId="0" borderId="103" xfId="4" applyNumberFormat="1" applyFont="1" applyFill="1" applyBorder="1" applyAlignment="1" applyProtection="1">
      <alignment horizontal="center"/>
    </xf>
    <xf numFmtId="1" fontId="0" fillId="0" borderId="102" xfId="4" applyNumberFormat="1" applyFont="1" applyFill="1" applyBorder="1" applyAlignment="1" applyProtection="1">
      <alignment horizontal="right"/>
    </xf>
    <xf numFmtId="1" fontId="0" fillId="0" borderId="85" xfId="4" applyNumberFormat="1" applyFont="1" applyFill="1" applyBorder="1" applyAlignment="1" applyProtection="1">
      <alignment horizontal="right"/>
    </xf>
    <xf numFmtId="165" fontId="0" fillId="0" borderId="85" xfId="4" applyNumberFormat="1" applyFont="1" applyFill="1" applyBorder="1" applyAlignment="1" applyProtection="1">
      <alignment horizontal="right"/>
    </xf>
    <xf numFmtId="175" fontId="0" fillId="0" borderId="103" xfId="4" applyNumberFormat="1" applyFont="1" applyFill="1" applyBorder="1" applyAlignment="1" applyProtection="1">
      <alignment horizontal="right"/>
    </xf>
    <xf numFmtId="0" fontId="0" fillId="0" borderId="85" xfId="4" applyNumberFormat="1" applyFont="1" applyFill="1" applyBorder="1" applyAlignment="1" applyProtection="1">
      <alignment horizontal="right"/>
    </xf>
    <xf numFmtId="1" fontId="0" fillId="0" borderId="103" xfId="4" applyNumberFormat="1" applyFont="1" applyFill="1" applyBorder="1" applyAlignment="1" applyProtection="1">
      <alignment horizontal="right"/>
    </xf>
    <xf numFmtId="0" fontId="0" fillId="0" borderId="22" xfId="4" applyNumberFormat="1" applyFont="1" applyFill="1" applyBorder="1" applyAlignment="1" applyProtection="1">
      <alignment horizontal="right"/>
    </xf>
    <xf numFmtId="1" fontId="0" fillId="0" borderId="21" xfId="4" applyNumberFormat="1" applyFont="1" applyFill="1" applyBorder="1" applyAlignment="1" applyProtection="1">
      <alignment horizontal="right"/>
    </xf>
    <xf numFmtId="1" fontId="0" fillId="0" borderId="104" xfId="4" applyNumberFormat="1" applyFont="1" applyFill="1" applyBorder="1" applyAlignment="1" applyProtection="1">
      <alignment horizontal="right"/>
    </xf>
    <xf numFmtId="0" fontId="0" fillId="0" borderId="21" xfId="4" applyNumberFormat="1" applyFont="1" applyFill="1" applyBorder="1" applyAlignment="1" applyProtection="1">
      <alignment horizontal="right"/>
    </xf>
    <xf numFmtId="0" fontId="0" fillId="0" borderId="32" xfId="1" applyNumberFormat="1" applyFont="1" applyFill="1" applyBorder="1" applyAlignment="1" applyProtection="1">
      <alignment horizontal="right"/>
    </xf>
    <xf numFmtId="0" fontId="16" fillId="0" borderId="105" xfId="0" applyFont="1" applyFill="1" applyBorder="1" applyAlignment="1"/>
    <xf numFmtId="165" fontId="2" fillId="0" borderId="106" xfId="0" applyNumberFormat="1" applyFont="1" applyBorder="1" applyAlignment="1">
      <alignment horizontal="center"/>
    </xf>
    <xf numFmtId="165" fontId="2" fillId="0" borderId="107" xfId="0" applyNumberFormat="1" applyFont="1" applyBorder="1" applyAlignment="1">
      <alignment horizontal="center"/>
    </xf>
    <xf numFmtId="0" fontId="3" fillId="0" borderId="0" xfId="0" applyFont="1" applyBorder="1" applyAlignment="1">
      <alignment horizontal="center"/>
    </xf>
    <xf numFmtId="0" fontId="2" fillId="14" borderId="106" xfId="0" applyFont="1" applyFill="1" applyBorder="1" applyAlignment="1">
      <alignment horizontal="center"/>
    </xf>
    <xf numFmtId="0" fontId="2" fillId="14" borderId="107" xfId="0" applyFont="1" applyFill="1" applyBorder="1" applyAlignment="1">
      <alignment horizontal="center"/>
    </xf>
    <xf numFmtId="0" fontId="2" fillId="14" borderId="108" xfId="0" applyFont="1" applyFill="1" applyBorder="1" applyAlignment="1">
      <alignment horizontal="center"/>
    </xf>
    <xf numFmtId="165" fontId="2" fillId="0" borderId="108" xfId="0" applyNumberFormat="1" applyFont="1" applyBorder="1" applyAlignment="1">
      <alignment horizontal="center"/>
    </xf>
    <xf numFmtId="0" fontId="3" fillId="0" borderId="109" xfId="0" applyFont="1" applyBorder="1" applyAlignment="1">
      <alignment horizontal="center"/>
    </xf>
    <xf numFmtId="0" fontId="3" fillId="0" borderId="110" xfId="0" applyFont="1" applyBorder="1" applyAlignment="1">
      <alignment horizontal="center"/>
    </xf>
    <xf numFmtId="0" fontId="41" fillId="0" borderId="111" xfId="0" applyFont="1" applyBorder="1" applyAlignment="1">
      <alignment horizontal="center" vertical="center"/>
    </xf>
    <xf numFmtId="0" fontId="41" fillId="0" borderId="40" xfId="0" applyFont="1" applyBorder="1" applyAlignment="1">
      <alignment vertical="center"/>
    </xf>
    <xf numFmtId="0" fontId="2" fillId="0" borderId="45" xfId="0" applyFont="1" applyFill="1" applyBorder="1" applyAlignment="1">
      <alignment horizontal="center" vertical="center"/>
    </xf>
    <xf numFmtId="1" fontId="2" fillId="0" borderId="112" xfId="0" applyNumberFormat="1" applyFont="1" applyFill="1" applyBorder="1" applyAlignment="1">
      <alignment horizontal="center" vertical="center"/>
    </xf>
    <xf numFmtId="1" fontId="2" fillId="0" borderId="45" xfId="0" applyNumberFormat="1" applyFont="1" applyFill="1" applyBorder="1" applyAlignment="1">
      <alignment horizontal="center" vertical="center"/>
    </xf>
    <xf numFmtId="0" fontId="0" fillId="0" borderId="22" xfId="0" applyBorder="1"/>
    <xf numFmtId="0" fontId="0" fillId="0" borderId="23" xfId="0" applyBorder="1"/>
    <xf numFmtId="0" fontId="0" fillId="0" borderId="58" xfId="0" applyBorder="1"/>
    <xf numFmtId="1" fontId="0" fillId="0" borderId="21" xfId="1" applyNumberFormat="1" applyFont="1" applyFill="1" applyBorder="1" applyAlignment="1" applyProtection="1"/>
    <xf numFmtId="167" fontId="11" fillId="0" borderId="113" xfId="1" applyFont="1" applyFill="1" applyBorder="1" applyAlignment="1" applyProtection="1">
      <alignment horizontal="center"/>
    </xf>
    <xf numFmtId="1" fontId="0" fillId="0" borderId="100" xfId="1" applyNumberFormat="1" applyFont="1" applyFill="1" applyBorder="1" applyAlignment="1" applyProtection="1">
      <alignment horizontal="center"/>
    </xf>
    <xf numFmtId="1" fontId="0" fillId="0" borderId="101" xfId="1" applyNumberFormat="1" applyFont="1" applyFill="1" applyBorder="1" applyAlignment="1" applyProtection="1">
      <alignment horizontal="center"/>
    </xf>
    <xf numFmtId="167" fontId="11" fillId="0" borderId="21" xfId="1" applyFont="1" applyFill="1" applyBorder="1" applyAlignment="1" applyProtection="1"/>
    <xf numFmtId="0" fontId="2" fillId="0" borderId="93" xfId="0" applyFont="1" applyBorder="1" applyAlignment="1">
      <alignment wrapText="1"/>
    </xf>
    <xf numFmtId="0" fontId="2" fillId="0" borderId="94" xfId="0" applyFont="1" applyBorder="1" applyAlignment="1">
      <alignment wrapText="1"/>
    </xf>
    <xf numFmtId="0" fontId="17" fillId="0" borderId="0" xfId="0" applyFont="1" applyBorder="1" applyAlignment="1">
      <alignment horizontal="left"/>
    </xf>
    <xf numFmtId="0" fontId="16" fillId="0" borderId="0" xfId="0" applyFont="1" applyFill="1" applyBorder="1" applyAlignment="1">
      <alignment horizontal="left"/>
    </xf>
    <xf numFmtId="177" fontId="0" fillId="0" borderId="0" xfId="0" applyNumberFormat="1"/>
    <xf numFmtId="177" fontId="0" fillId="0" borderId="0" xfId="0" applyNumberFormat="1" applyAlignment="1">
      <alignment horizontal="right"/>
    </xf>
    <xf numFmtId="0" fontId="0" fillId="0" borderId="114" xfId="0" applyNumberFormat="1" applyFont="1" applyFill="1" applyBorder="1" applyAlignment="1">
      <alignment horizontal="center" vertical="center"/>
    </xf>
    <xf numFmtId="0" fontId="0" fillId="0" borderId="115" xfId="0" applyNumberFormat="1" applyFont="1" applyFill="1" applyBorder="1" applyAlignment="1">
      <alignment horizontal="center" vertical="center"/>
    </xf>
    <xf numFmtId="0" fontId="42" fillId="14" borderId="116" xfId="0" applyNumberFormat="1" applyFont="1" applyFill="1" applyBorder="1" applyAlignment="1">
      <alignment horizontal="center" vertical="center"/>
    </xf>
    <xf numFmtId="0" fontId="47" fillId="0" borderId="0" xfId="0" applyFont="1"/>
    <xf numFmtId="179" fontId="0" fillId="0" borderId="0" xfId="0" applyNumberFormat="1"/>
    <xf numFmtId="10" fontId="0" fillId="0" borderId="68" xfId="1" applyNumberFormat="1" applyFont="1" applyFill="1" applyBorder="1" applyAlignment="1" applyProtection="1">
      <alignment horizontal="center"/>
    </xf>
    <xf numFmtId="2" fontId="0" fillId="0" borderId="70" xfId="1" applyNumberFormat="1" applyFont="1" applyFill="1" applyBorder="1" applyAlignment="1" applyProtection="1">
      <alignment horizontal="center"/>
    </xf>
    <xf numFmtId="2" fontId="0" fillId="0" borderId="69" xfId="1" applyNumberFormat="1" applyFont="1" applyFill="1" applyBorder="1" applyAlignment="1" applyProtection="1">
      <alignment horizontal="center"/>
    </xf>
    <xf numFmtId="10" fontId="0" fillId="0" borderId="58" xfId="4" applyNumberFormat="1" applyFont="1" applyFill="1" applyBorder="1" applyAlignment="1" applyProtection="1">
      <alignment horizontal="center"/>
    </xf>
    <xf numFmtId="10" fontId="0" fillId="0" borderId="19" xfId="4" applyNumberFormat="1" applyFont="1" applyFill="1" applyBorder="1" applyAlignment="1" applyProtection="1">
      <alignment horizontal="center"/>
    </xf>
    <xf numFmtId="10" fontId="0" fillId="0" borderId="13" xfId="4" applyNumberFormat="1" applyFont="1" applyFill="1" applyBorder="1" applyAlignment="1" applyProtection="1">
      <alignment horizontal="center"/>
    </xf>
    <xf numFmtId="2" fontId="0" fillId="0" borderId="69" xfId="1" applyNumberFormat="1" applyFont="1" applyFill="1" applyBorder="1" applyAlignment="1" applyProtection="1">
      <alignment horizontal="right"/>
    </xf>
    <xf numFmtId="2" fontId="0" fillId="0" borderId="70" xfId="1" applyNumberFormat="1" applyFont="1" applyFill="1" applyBorder="1" applyAlignment="1" applyProtection="1">
      <alignment horizontal="right"/>
    </xf>
    <xf numFmtId="10" fontId="0" fillId="0" borderId="69" xfId="4" applyNumberFormat="1" applyFont="1" applyFill="1" applyBorder="1" applyAlignment="1" applyProtection="1">
      <alignment horizontal="right"/>
    </xf>
    <xf numFmtId="10" fontId="0" fillId="0" borderId="19" xfId="4" applyNumberFormat="1" applyFont="1" applyFill="1" applyBorder="1" applyAlignment="1" applyProtection="1">
      <alignment horizontal="right"/>
    </xf>
    <xf numFmtId="10" fontId="0" fillId="0" borderId="0" xfId="4" applyNumberFormat="1" applyFont="1" applyFill="1" applyBorder="1" applyAlignment="1" applyProtection="1">
      <alignment horizontal="right"/>
    </xf>
    <xf numFmtId="0" fontId="24" fillId="0" borderId="0" xfId="0" applyFont="1" applyAlignment="1"/>
    <xf numFmtId="0" fontId="16" fillId="0" borderId="0" xfId="0" applyFont="1" applyAlignment="1"/>
    <xf numFmtId="0" fontId="18" fillId="0" borderId="0" xfId="0" applyFont="1" applyAlignment="1"/>
    <xf numFmtId="0" fontId="16" fillId="0" borderId="9" xfId="0" applyFont="1" applyBorder="1" applyAlignment="1"/>
    <xf numFmtId="0" fontId="16" fillId="0" borderId="46" xfId="0" applyFont="1" applyBorder="1" applyAlignment="1"/>
    <xf numFmtId="0" fontId="19" fillId="0" borderId="47" xfId="0" applyFont="1" applyBorder="1" applyAlignment="1"/>
    <xf numFmtId="0" fontId="16" fillId="0" borderId="47" xfId="0" applyFont="1" applyBorder="1" applyAlignment="1"/>
    <xf numFmtId="0" fontId="16" fillId="0" borderId="48" xfId="0" applyFont="1" applyBorder="1" applyAlignment="1"/>
    <xf numFmtId="0" fontId="16" fillId="0" borderId="10" xfId="0" applyFont="1" applyBorder="1" applyAlignment="1"/>
    <xf numFmtId="0" fontId="16" fillId="0" borderId="40" xfId="0" applyFont="1" applyBorder="1" applyAlignment="1"/>
    <xf numFmtId="0" fontId="16" fillId="0" borderId="44" xfId="0" applyFont="1" applyBorder="1" applyAlignment="1"/>
    <xf numFmtId="0" fontId="22" fillId="0" borderId="0" xfId="0" applyFont="1" applyBorder="1" applyAlignment="1"/>
    <xf numFmtId="0" fontId="23" fillId="0" borderId="0" xfId="0" applyFont="1" applyBorder="1" applyAlignment="1"/>
    <xf numFmtId="0" fontId="20" fillId="0" borderId="0" xfId="0" applyFont="1" applyBorder="1" applyAlignment="1"/>
    <xf numFmtId="0" fontId="20" fillId="0" borderId="44" xfId="0" applyFont="1" applyBorder="1" applyAlignment="1"/>
    <xf numFmtId="9" fontId="0" fillId="0" borderId="56" xfId="0" applyNumberFormat="1" applyFont="1" applyBorder="1" applyAlignment="1"/>
    <xf numFmtId="0" fontId="16" fillId="5" borderId="117" xfId="0" applyFont="1" applyFill="1" applyBorder="1" applyAlignment="1">
      <alignment horizontal="center"/>
    </xf>
    <xf numFmtId="0" fontId="19" fillId="0" borderId="37" xfId="0" applyFont="1" applyBorder="1" applyAlignment="1"/>
    <xf numFmtId="0" fontId="19" fillId="0" borderId="0" xfId="0" applyFont="1" applyBorder="1" applyAlignment="1"/>
    <xf numFmtId="0" fontId="17" fillId="0" borderId="0" xfId="0" applyFont="1" applyAlignment="1"/>
    <xf numFmtId="0" fontId="16" fillId="0" borderId="24" xfId="0" applyFont="1" applyBorder="1" applyAlignment="1"/>
    <xf numFmtId="0" fontId="16" fillId="0" borderId="16" xfId="0" applyFont="1" applyBorder="1" applyAlignment="1"/>
    <xf numFmtId="0" fontId="16" fillId="0" borderId="15" xfId="0" applyFont="1" applyBorder="1" applyAlignment="1"/>
    <xf numFmtId="0" fontId="17" fillId="0" borderId="42" xfId="0" applyFont="1" applyBorder="1" applyAlignment="1"/>
    <xf numFmtId="0" fontId="17" fillId="0" borderId="48" xfId="0" applyFont="1" applyBorder="1" applyAlignment="1"/>
    <xf numFmtId="0" fontId="17" fillId="0" borderId="44" xfId="0" applyFont="1" applyBorder="1" applyAlignment="1"/>
    <xf numFmtId="0" fontId="17" fillId="0" borderId="40" xfId="0" applyFont="1" applyBorder="1" applyAlignment="1"/>
    <xf numFmtId="0" fontId="17" fillId="0" borderId="41" xfId="0" applyFont="1" applyBorder="1" applyAlignment="1"/>
    <xf numFmtId="0" fontId="17" fillId="0" borderId="43" xfId="0" applyFont="1" applyBorder="1" applyAlignment="1"/>
    <xf numFmtId="0" fontId="17" fillId="0" borderId="118" xfId="0" applyFont="1" applyBorder="1" applyAlignment="1"/>
    <xf numFmtId="0" fontId="16" fillId="14" borderId="55" xfId="0" applyFont="1" applyFill="1" applyBorder="1" applyAlignment="1">
      <alignment horizontal="center"/>
    </xf>
    <xf numFmtId="0" fontId="16" fillId="14" borderId="119" xfId="0" applyFont="1" applyFill="1" applyBorder="1" applyAlignment="1">
      <alignment horizontal="left"/>
    </xf>
    <xf numFmtId="0" fontId="16" fillId="14" borderId="120" xfId="0" applyFont="1" applyFill="1" applyBorder="1" applyAlignment="1">
      <alignment horizontal="left"/>
    </xf>
    <xf numFmtId="0" fontId="18" fillId="0" borderId="0" xfId="0" applyFont="1" applyBorder="1" applyAlignment="1">
      <alignment horizontal="left"/>
    </xf>
    <xf numFmtId="178" fontId="2" fillId="0" borderId="121" xfId="0" applyNumberFormat="1" applyFont="1" applyBorder="1" applyAlignment="1">
      <alignment horizontal="center"/>
    </xf>
    <xf numFmtId="178" fontId="2" fillId="0" borderId="122" xfId="0" applyNumberFormat="1" applyFont="1" applyBorder="1" applyAlignment="1">
      <alignment horizontal="center"/>
    </xf>
    <xf numFmtId="178" fontId="2" fillId="0" borderId="117" xfId="0" applyNumberFormat="1" applyFont="1" applyBorder="1" applyAlignment="1">
      <alignment horizontal="center"/>
    </xf>
    <xf numFmtId="165" fontId="0" fillId="0" borderId="116" xfId="0" applyNumberFormat="1" applyFont="1" applyFill="1" applyBorder="1" applyAlignment="1">
      <alignment horizontal="center" vertical="center"/>
    </xf>
    <xf numFmtId="178" fontId="0" fillId="0" borderId="0" xfId="0" applyNumberFormat="1"/>
    <xf numFmtId="0" fontId="16" fillId="14" borderId="119" xfId="0" applyFont="1" applyFill="1" applyBorder="1" applyAlignment="1">
      <alignment horizontal="left"/>
    </xf>
    <xf numFmtId="0" fontId="16" fillId="14" borderId="120" xfId="0" applyFont="1" applyFill="1" applyBorder="1" applyAlignment="1">
      <alignment horizontal="left"/>
    </xf>
    <xf numFmtId="0" fontId="16" fillId="5" borderId="119" xfId="0" applyFont="1" applyFill="1" applyBorder="1" applyAlignment="1">
      <alignment horizontal="left"/>
    </xf>
    <xf numFmtId="14" fontId="16" fillId="14" borderId="119" xfId="0" applyNumberFormat="1" applyFont="1" applyFill="1" applyBorder="1" applyAlignment="1">
      <alignment horizontal="left"/>
    </xf>
    <xf numFmtId="0" fontId="19" fillId="0" borderId="37" xfId="0" applyFont="1" applyBorder="1" applyAlignment="1">
      <alignment horizontal="left"/>
    </xf>
    <xf numFmtId="0" fontId="19" fillId="0" borderId="0" xfId="0" applyFont="1" applyBorder="1" applyAlignment="1">
      <alignment horizontal="left"/>
    </xf>
    <xf numFmtId="0" fontId="16" fillId="14" borderId="105" xfId="0" applyFont="1" applyFill="1" applyBorder="1" applyAlignment="1">
      <alignment horizontal="left" vertical="top" wrapText="1"/>
    </xf>
    <xf numFmtId="0" fontId="16" fillId="14" borderId="0" xfId="0" applyFont="1" applyFill="1" applyBorder="1" applyAlignment="1">
      <alignment horizontal="left" vertical="top" wrapText="1"/>
    </xf>
    <xf numFmtId="0" fontId="16" fillId="14" borderId="119" xfId="0" applyFont="1" applyFill="1" applyBorder="1" applyAlignment="1">
      <alignment horizontal="left" vertical="top" wrapText="1"/>
    </xf>
    <xf numFmtId="0" fontId="16" fillId="5" borderId="120" xfId="0" applyFont="1" applyFill="1" applyBorder="1" applyAlignment="1">
      <alignment horizontal="left"/>
    </xf>
    <xf numFmtId="0" fontId="16" fillId="14" borderId="123" xfId="0" applyFont="1" applyFill="1" applyBorder="1" applyAlignment="1">
      <alignment horizontal="left"/>
    </xf>
    <xf numFmtId="0" fontId="16" fillId="14" borderId="124" xfId="0" applyFont="1" applyFill="1" applyBorder="1" applyAlignment="1">
      <alignment horizontal="left"/>
    </xf>
    <xf numFmtId="0" fontId="16" fillId="0" borderId="40" xfId="0" applyFont="1" applyBorder="1" applyAlignment="1">
      <alignment horizontal="left" wrapText="1"/>
    </xf>
    <xf numFmtId="0" fontId="16" fillId="0" borderId="0" xfId="0" applyFont="1" applyBorder="1" applyAlignment="1">
      <alignment horizontal="left" wrapText="1"/>
    </xf>
    <xf numFmtId="0" fontId="19" fillId="0" borderId="46" xfId="0" applyFont="1" applyBorder="1" applyAlignment="1">
      <alignment horizontal="center"/>
    </xf>
    <xf numFmtId="0" fontId="19" fillId="0" borderId="47" xfId="0" applyFont="1" applyBorder="1" applyAlignment="1">
      <alignment horizontal="center"/>
    </xf>
    <xf numFmtId="0" fontId="19" fillId="0" borderId="48" xfId="0" applyFont="1" applyBorder="1" applyAlignment="1">
      <alignment horizontal="center"/>
    </xf>
    <xf numFmtId="0" fontId="16" fillId="0" borderId="40" xfId="0" applyFont="1" applyBorder="1" applyAlignment="1">
      <alignment horizontal="left"/>
    </xf>
    <xf numFmtId="0" fontId="16" fillId="0" borderId="0" xfId="0" applyFont="1" applyBorder="1" applyAlignment="1">
      <alignment horizontal="left"/>
    </xf>
    <xf numFmtId="0" fontId="18" fillId="0" borderId="0" xfId="0" applyFont="1" applyBorder="1" applyAlignment="1">
      <alignment horizontal="center"/>
    </xf>
    <xf numFmtId="0" fontId="32" fillId="0" borderId="0" xfId="3" applyFont="1" applyAlignment="1">
      <alignment horizontal="center"/>
    </xf>
    <xf numFmtId="0" fontId="3" fillId="2" borderId="130" xfId="0" applyFont="1" applyFill="1" applyBorder="1" applyAlignment="1" applyProtection="1">
      <alignment horizontal="left"/>
      <protection locked="0"/>
    </xf>
    <xf numFmtId="0" fontId="3" fillId="2" borderId="131" xfId="0" applyFont="1" applyFill="1" applyBorder="1" applyAlignment="1" applyProtection="1">
      <alignment horizontal="left"/>
      <protection locked="0"/>
    </xf>
    <xf numFmtId="0" fontId="3" fillId="2" borderId="132" xfId="0" applyFont="1" applyFill="1" applyBorder="1" applyAlignment="1" applyProtection="1">
      <alignment horizontal="left"/>
      <protection locked="0"/>
    </xf>
    <xf numFmtId="0" fontId="3" fillId="2" borderId="125" xfId="0" applyFont="1" applyFill="1" applyBorder="1" applyAlignment="1" applyProtection="1">
      <alignment horizontal="left"/>
      <protection locked="0"/>
    </xf>
    <xf numFmtId="0" fontId="3" fillId="2" borderId="56" xfId="0" applyFont="1" applyFill="1" applyBorder="1" applyAlignment="1" applyProtection="1">
      <alignment horizontal="left"/>
      <protection locked="0"/>
    </xf>
    <xf numFmtId="0" fontId="3" fillId="2" borderId="126" xfId="0" applyFont="1" applyFill="1" applyBorder="1" applyAlignment="1" applyProtection="1">
      <alignment horizontal="left"/>
      <protection locked="0"/>
    </xf>
    <xf numFmtId="0" fontId="3" fillId="0" borderId="127" xfId="0" applyFont="1" applyBorder="1" applyAlignment="1">
      <alignment horizontal="left" vertical="top"/>
    </xf>
    <xf numFmtId="0" fontId="3" fillId="0" borderId="128" xfId="0" applyFont="1" applyBorder="1" applyAlignment="1">
      <alignment horizontal="left" vertical="top"/>
    </xf>
    <xf numFmtId="0" fontId="3" fillId="0" borderId="129" xfId="0" applyFont="1" applyBorder="1" applyAlignment="1">
      <alignment horizontal="left" vertical="top"/>
    </xf>
    <xf numFmtId="0" fontId="2" fillId="0" borderId="0" xfId="0" applyFont="1" applyBorder="1" applyAlignment="1">
      <alignment horizontal="left" vertical="top"/>
    </xf>
    <xf numFmtId="0" fontId="2" fillId="0" borderId="0" xfId="0" applyFont="1" applyBorder="1" applyAlignment="1">
      <alignment horizontal="left" wrapText="1"/>
    </xf>
    <xf numFmtId="0" fontId="3" fillId="0" borderId="12" xfId="0" applyFont="1" applyBorder="1" applyAlignment="1">
      <alignment horizontal="left" wrapText="1"/>
    </xf>
    <xf numFmtId="0" fontId="2" fillId="5" borderId="76" xfId="4" applyNumberFormat="1" applyFont="1" applyFill="1" applyBorder="1" applyAlignment="1" applyProtection="1">
      <alignment horizontal="center"/>
      <protection locked="0"/>
    </xf>
    <xf numFmtId="0" fontId="2" fillId="2" borderId="18" xfId="0" applyFont="1" applyFill="1" applyBorder="1" applyAlignment="1" applyProtection="1">
      <alignment horizontal="left"/>
      <protection locked="0"/>
    </xf>
    <xf numFmtId="0" fontId="2" fillId="0" borderId="0" xfId="0" applyFont="1" applyFill="1" applyBorder="1" applyAlignment="1">
      <alignment horizontal="left" wrapText="1"/>
    </xf>
    <xf numFmtId="14" fontId="2" fillId="5" borderId="18" xfId="0" applyNumberFormat="1" applyFont="1" applyFill="1" applyBorder="1" applyAlignment="1" applyProtection="1">
      <alignment horizontal="left"/>
      <protection locked="0"/>
    </xf>
    <xf numFmtId="0" fontId="2" fillId="5" borderId="18" xfId="0" applyFont="1" applyFill="1" applyBorder="1" applyAlignment="1" applyProtection="1">
      <alignment horizontal="left"/>
      <protection locked="0"/>
    </xf>
    <xf numFmtId="166" fontId="2" fillId="0" borderId="18" xfId="0" applyNumberFormat="1" applyFont="1" applyFill="1" applyBorder="1" applyAlignment="1" applyProtection="1">
      <alignment horizontal="left"/>
      <protection locked="0"/>
    </xf>
    <xf numFmtId="0" fontId="2" fillId="0" borderId="134" xfId="0" applyFont="1" applyBorder="1" applyAlignment="1">
      <alignment horizontal="center"/>
    </xf>
    <xf numFmtId="0" fontId="2" fillId="0" borderId="18" xfId="0" applyFont="1" applyFill="1" applyBorder="1" applyAlignment="1" applyProtection="1">
      <alignment horizontal="left"/>
      <protection locked="0"/>
    </xf>
    <xf numFmtId="0" fontId="4" fillId="0" borderId="133" xfId="0" applyFont="1" applyBorder="1" applyAlignment="1">
      <alignment horizontal="center"/>
    </xf>
    <xf numFmtId="0" fontId="2" fillId="15" borderId="0" xfId="0" applyFont="1" applyFill="1" applyBorder="1" applyAlignment="1">
      <alignment horizontal="center" wrapText="1"/>
    </xf>
    <xf numFmtId="0" fontId="2" fillId="5" borderId="0" xfId="0" applyFont="1" applyFill="1" applyBorder="1" applyAlignment="1">
      <alignment horizontal="center" wrapText="1"/>
    </xf>
    <xf numFmtId="0" fontId="2" fillId="11" borderId="0" xfId="0" applyFont="1" applyFill="1" applyBorder="1" applyAlignment="1">
      <alignment horizontal="center" wrapText="1"/>
    </xf>
    <xf numFmtId="0" fontId="3" fillId="0" borderId="135" xfId="0" applyFont="1" applyBorder="1" applyAlignment="1">
      <alignment horizontal="left"/>
    </xf>
    <xf numFmtId="0" fontId="4" fillId="0" borderId="136" xfId="0" applyFont="1" applyBorder="1" applyAlignment="1">
      <alignment horizontal="center"/>
    </xf>
    <xf numFmtId="0" fontId="4" fillId="0" borderId="0" xfId="0" applyFont="1" applyBorder="1" applyAlignment="1">
      <alignment horizontal="center"/>
    </xf>
    <xf numFmtId="0" fontId="4" fillId="0" borderId="10" xfId="0" applyFont="1" applyBorder="1" applyAlignment="1">
      <alignment horizontal="center"/>
    </xf>
    <xf numFmtId="0" fontId="2" fillId="0" borderId="0" xfId="0" applyFont="1" applyBorder="1" applyAlignment="1">
      <alignment horizontal="center"/>
    </xf>
    <xf numFmtId="0" fontId="2" fillId="0" borderId="10" xfId="0" applyFont="1" applyBorder="1" applyAlignment="1">
      <alignment horizontal="center"/>
    </xf>
    <xf numFmtId="0" fontId="2" fillId="0" borderId="39" xfId="0" applyFont="1" applyBorder="1" applyAlignment="1">
      <alignment horizontal="center"/>
    </xf>
    <xf numFmtId="0" fontId="4" fillId="0" borderId="134" xfId="0" applyFont="1" applyBorder="1" applyAlignment="1">
      <alignment horizontal="center"/>
    </xf>
    <xf numFmtId="0" fontId="2" fillId="0" borderId="56" xfId="0" applyFont="1" applyBorder="1" applyAlignment="1" applyProtection="1">
      <alignment horizontal="left"/>
      <protection locked="0"/>
    </xf>
    <xf numFmtId="0" fontId="3" fillId="2" borderId="128" xfId="0" applyFont="1" applyFill="1" applyBorder="1" applyAlignment="1" applyProtection="1">
      <alignment horizontal="left"/>
      <protection locked="0"/>
    </xf>
    <xf numFmtId="0" fontId="3" fillId="2" borderId="129" xfId="0" applyFont="1" applyFill="1" applyBorder="1" applyAlignment="1" applyProtection="1">
      <alignment horizontal="left"/>
      <protection locked="0"/>
    </xf>
    <xf numFmtId="0" fontId="2" fillId="0" borderId="38" xfId="0" applyFont="1" applyBorder="1" applyAlignment="1">
      <alignment horizontal="center"/>
    </xf>
    <xf numFmtId="0" fontId="2" fillId="0" borderId="9" xfId="0" applyFont="1" applyBorder="1" applyAlignment="1">
      <alignment horizontal="center"/>
    </xf>
    <xf numFmtId="0" fontId="2" fillId="0" borderId="12" xfId="0" applyFont="1" applyBorder="1" applyAlignment="1">
      <alignment horizontal="center"/>
    </xf>
    <xf numFmtId="0" fontId="4" fillId="0" borderId="12" xfId="0" applyFont="1" applyBorder="1" applyAlignment="1">
      <alignment horizontal="center"/>
    </xf>
    <xf numFmtId="0" fontId="2" fillId="2" borderId="137" xfId="0" applyFont="1" applyFill="1" applyBorder="1" applyAlignment="1" applyProtection="1">
      <alignment horizontal="left"/>
      <protection locked="0"/>
    </xf>
    <xf numFmtId="0" fontId="2" fillId="0" borderId="56" xfId="0" applyFont="1" applyFill="1" applyBorder="1" applyAlignment="1" applyProtection="1">
      <alignment horizontal="left"/>
      <protection locked="0"/>
    </xf>
    <xf numFmtId="0" fontId="3" fillId="0" borderId="138" xfId="0" applyFont="1" applyBorder="1" applyAlignment="1">
      <alignment horizontal="left" wrapText="1"/>
    </xf>
    <xf numFmtId="0" fontId="2" fillId="0" borderId="23" xfId="0" applyFont="1" applyBorder="1" applyAlignment="1">
      <alignment horizontal="left" wrapText="1"/>
    </xf>
    <xf numFmtId="0" fontId="2" fillId="15" borderId="76" xfId="0" applyFont="1" applyFill="1" applyBorder="1" applyAlignment="1">
      <alignment horizontal="center" wrapText="1"/>
    </xf>
    <xf numFmtId="0" fontId="4" fillId="0" borderId="39" xfId="0" applyFont="1" applyBorder="1" applyAlignment="1">
      <alignment horizontal="center"/>
    </xf>
    <xf numFmtId="0" fontId="4" fillId="0" borderId="38" xfId="0" applyFont="1" applyBorder="1" applyAlignment="1">
      <alignment horizontal="center"/>
    </xf>
    <xf numFmtId="0" fontId="4" fillId="0" borderId="9" xfId="0" applyFont="1" applyBorder="1" applyAlignment="1">
      <alignment horizontal="center"/>
    </xf>
    <xf numFmtId="0" fontId="2" fillId="5" borderId="56" xfId="0" applyFont="1" applyFill="1" applyBorder="1" applyAlignment="1" applyProtection="1">
      <alignment horizontal="left"/>
      <protection locked="0"/>
    </xf>
    <xf numFmtId="14" fontId="2" fillId="5" borderId="56" xfId="0" applyNumberFormat="1" applyFont="1" applyFill="1" applyBorder="1" applyAlignment="1" applyProtection="1">
      <alignment horizontal="left"/>
      <protection locked="0"/>
    </xf>
    <xf numFmtId="166" fontId="2" fillId="0" borderId="56" xfId="0" applyNumberFormat="1" applyFont="1" applyFill="1" applyBorder="1" applyAlignment="1" applyProtection="1">
      <alignment horizontal="left"/>
      <protection locked="0"/>
    </xf>
    <xf numFmtId="0" fontId="2" fillId="7" borderId="0" xfId="0" applyFont="1" applyFill="1" applyBorder="1" applyAlignment="1">
      <alignment horizontal="center" wrapText="1"/>
    </xf>
    <xf numFmtId="0" fontId="3" fillId="2" borderId="125" xfId="0" applyFont="1" applyFill="1" applyBorder="1" applyAlignment="1" applyProtection="1">
      <protection locked="0"/>
    </xf>
    <xf numFmtId="0" fontId="3" fillId="2" borderId="56" xfId="0" applyFont="1" applyFill="1" applyBorder="1" applyAlignment="1" applyProtection="1">
      <protection locked="0"/>
    </xf>
    <xf numFmtId="0" fontId="3" fillId="2" borderId="126" xfId="0" applyFont="1" applyFill="1" applyBorder="1" applyAlignment="1" applyProtection="1">
      <protection locked="0"/>
    </xf>
    <xf numFmtId="174" fontId="11" fillId="5" borderId="2" xfId="1" applyNumberFormat="1" applyFont="1" applyFill="1" applyBorder="1" applyAlignment="1" applyProtection="1">
      <alignment horizontal="center"/>
    </xf>
    <xf numFmtId="0" fontId="0" fillId="0" borderId="18" xfId="0" applyFont="1" applyBorder="1" applyAlignment="1">
      <alignment horizontal="left"/>
    </xf>
    <xf numFmtId="0" fontId="0" fillId="0" borderId="56" xfId="0" applyFont="1" applyBorder="1" applyAlignment="1">
      <alignment horizontal="left" wrapText="1"/>
    </xf>
    <xf numFmtId="0" fontId="0" fillId="0" borderId="56" xfId="0" applyFont="1" applyBorder="1" applyAlignment="1">
      <alignment horizontal="left"/>
    </xf>
    <xf numFmtId="167" fontId="11" fillId="0" borderId="0" xfId="1" applyFont="1" applyFill="1" applyBorder="1" applyAlignment="1" applyProtection="1">
      <alignment horizontal="center"/>
    </xf>
    <xf numFmtId="1" fontId="0" fillId="0" borderId="0" xfId="1" applyNumberFormat="1" applyFont="1" applyFill="1" applyBorder="1" applyAlignment="1" applyProtection="1">
      <alignment horizontal="center"/>
    </xf>
    <xf numFmtId="0" fontId="2" fillId="0" borderId="93" xfId="0" applyFont="1" applyBorder="1" applyAlignment="1">
      <alignment horizontal="center"/>
    </xf>
    <xf numFmtId="0" fontId="2" fillId="0" borderId="94" xfId="0" applyFont="1" applyBorder="1" applyAlignment="1">
      <alignment horizontal="center"/>
    </xf>
    <xf numFmtId="177" fontId="2" fillId="0" borderId="63" xfId="0" applyNumberFormat="1" applyFont="1" applyFill="1" applyBorder="1" applyAlignment="1">
      <alignment horizontal="left" vertical="center"/>
    </xf>
    <xf numFmtId="177" fontId="2" fillId="0" borderId="64" xfId="0" applyNumberFormat="1" applyFont="1" applyFill="1" applyBorder="1" applyAlignment="1">
      <alignment horizontal="left" vertical="center"/>
    </xf>
    <xf numFmtId="177" fontId="2" fillId="0" borderId="139" xfId="0" applyNumberFormat="1" applyFont="1" applyFill="1" applyBorder="1" applyAlignment="1">
      <alignment horizontal="left" vertical="center"/>
    </xf>
    <xf numFmtId="0" fontId="4" fillId="0" borderId="93" xfId="0" applyFont="1" applyBorder="1" applyAlignment="1">
      <alignment horizontal="center"/>
    </xf>
    <xf numFmtId="0" fontId="4" fillId="0" borderId="94" xfId="0" applyFont="1" applyBorder="1" applyAlignment="1">
      <alignment horizontal="center"/>
    </xf>
    <xf numFmtId="0" fontId="3" fillId="0" borderId="140" xfId="0" applyFont="1" applyBorder="1" applyAlignment="1">
      <alignment horizontal="left" vertical="center"/>
    </xf>
    <xf numFmtId="0" fontId="3" fillId="0" borderId="141" xfId="0" applyFont="1" applyBorder="1" applyAlignment="1">
      <alignment horizontal="left" vertical="center"/>
    </xf>
    <xf numFmtId="0" fontId="3" fillId="0" borderId="142" xfId="0" applyFont="1" applyBorder="1" applyAlignment="1">
      <alignment horizontal="left" vertical="center"/>
    </xf>
    <xf numFmtId="0" fontId="41" fillId="0" borderId="93" xfId="0" applyFont="1" applyBorder="1" applyAlignment="1">
      <alignment horizontal="center" vertical="center"/>
    </xf>
    <xf numFmtId="0" fontId="41" fillId="0" borderId="0" xfId="0" applyFont="1" applyBorder="1" applyAlignment="1">
      <alignment horizontal="center" vertical="center"/>
    </xf>
    <xf numFmtId="0" fontId="41" fillId="0" borderId="94" xfId="0" applyFont="1" applyBorder="1" applyAlignment="1">
      <alignment horizontal="center" vertical="center"/>
    </xf>
    <xf numFmtId="177" fontId="2" fillId="0" borderId="143" xfId="0" applyNumberFormat="1" applyFont="1" applyFill="1" applyBorder="1" applyAlignment="1">
      <alignment horizontal="left" vertical="center"/>
    </xf>
    <xf numFmtId="177" fontId="2" fillId="0" borderId="144" xfId="0" applyNumberFormat="1" applyFont="1" applyFill="1" applyBorder="1" applyAlignment="1">
      <alignment horizontal="left" vertical="center"/>
    </xf>
    <xf numFmtId="177" fontId="2" fillId="0" borderId="145" xfId="0" applyNumberFormat="1" applyFont="1" applyFill="1" applyBorder="1" applyAlignment="1">
      <alignment horizontal="left" vertical="center"/>
    </xf>
    <xf numFmtId="0" fontId="3" fillId="0" borderId="146" xfId="0" applyFont="1" applyBorder="1" applyAlignment="1">
      <alignment horizontal="left" vertical="center"/>
    </xf>
    <xf numFmtId="0" fontId="3" fillId="0" borderId="144" xfId="0" applyFont="1" applyBorder="1" applyAlignment="1">
      <alignment horizontal="left" vertical="center"/>
    </xf>
    <xf numFmtId="0" fontId="3" fillId="0" borderId="147" xfId="0" applyFont="1" applyBorder="1" applyAlignment="1">
      <alignment horizontal="left" vertical="center"/>
    </xf>
    <xf numFmtId="0" fontId="3" fillId="0" borderId="148" xfId="0" applyFont="1" applyBorder="1" applyAlignment="1">
      <alignment horizontal="left" vertical="center"/>
    </xf>
    <xf numFmtId="0" fontId="3" fillId="0" borderId="64" xfId="0" applyFont="1" applyBorder="1" applyAlignment="1">
      <alignment horizontal="left" vertical="center"/>
    </xf>
    <xf numFmtId="0" fontId="3" fillId="0" borderId="149" xfId="0" applyFont="1" applyBorder="1" applyAlignment="1">
      <alignment horizontal="left" vertical="center"/>
    </xf>
    <xf numFmtId="177" fontId="2" fillId="0" borderId="150" xfId="0" applyNumberFormat="1" applyFont="1" applyFill="1" applyBorder="1" applyAlignment="1">
      <alignment horizontal="left" vertical="center"/>
    </xf>
    <xf numFmtId="177" fontId="2" fillId="0" borderId="151" xfId="0" applyNumberFormat="1" applyFont="1" applyFill="1" applyBorder="1" applyAlignment="1">
      <alignment horizontal="left" vertical="center"/>
    </xf>
    <xf numFmtId="177" fontId="2" fillId="0" borderId="152" xfId="0" applyNumberFormat="1" applyFont="1" applyFill="1" applyBorder="1" applyAlignment="1">
      <alignment horizontal="left" vertical="center"/>
    </xf>
    <xf numFmtId="0" fontId="18" fillId="14" borderId="153" xfId="0" applyFont="1" applyFill="1" applyBorder="1" applyAlignment="1">
      <alignment horizontal="center" vertical="center"/>
    </xf>
    <xf numFmtId="0" fontId="18" fillId="14" borderId="154" xfId="0" applyFont="1" applyFill="1" applyBorder="1" applyAlignment="1">
      <alignment horizontal="center" vertical="center"/>
    </xf>
    <xf numFmtId="0" fontId="18" fillId="14" borderId="155" xfId="0" applyFont="1" applyFill="1" applyBorder="1" applyAlignment="1">
      <alignment horizontal="center" vertical="center"/>
    </xf>
    <xf numFmtId="0" fontId="42" fillId="0" borderId="156" xfId="0" applyFont="1" applyBorder="1" applyAlignment="1">
      <alignment horizontal="center" vertical="center"/>
    </xf>
    <xf numFmtId="0" fontId="42" fillId="0" borderId="157" xfId="0" applyFont="1" applyBorder="1" applyAlignment="1">
      <alignment horizontal="center" vertical="center"/>
    </xf>
    <xf numFmtId="0" fontId="42" fillId="0" borderId="158" xfId="0" applyFont="1" applyBorder="1" applyAlignment="1">
      <alignment horizontal="center" vertical="center"/>
    </xf>
    <xf numFmtId="0" fontId="41" fillId="0" borderId="148" xfId="0" applyFont="1" applyBorder="1" applyAlignment="1">
      <alignment horizontal="left" vertical="center"/>
    </xf>
    <xf numFmtId="0" fontId="41" fillId="0" borderId="64" xfId="0" applyFont="1" applyBorder="1" applyAlignment="1">
      <alignment horizontal="left" vertical="center"/>
    </xf>
    <xf numFmtId="0" fontId="41" fillId="0" borderId="139" xfId="0" applyFont="1" applyBorder="1" applyAlignment="1">
      <alignment horizontal="left" vertical="center"/>
    </xf>
    <xf numFmtId="177" fontId="2" fillId="0" borderId="162" xfId="0" applyNumberFormat="1" applyFont="1" applyFill="1" applyBorder="1" applyAlignment="1">
      <alignment horizontal="left" vertical="center"/>
    </xf>
    <xf numFmtId="177" fontId="2" fillId="0" borderId="141" xfId="0" applyNumberFormat="1" applyFont="1" applyFill="1" applyBorder="1" applyAlignment="1">
      <alignment horizontal="left" vertical="center"/>
    </xf>
    <xf numFmtId="177" fontId="2" fillId="0" borderId="115" xfId="0" applyNumberFormat="1" applyFont="1" applyFill="1" applyBorder="1" applyAlignment="1">
      <alignment horizontal="left" vertical="center"/>
    </xf>
    <xf numFmtId="0" fontId="2" fillId="0" borderId="63" xfId="0" applyFont="1" applyBorder="1" applyAlignment="1">
      <alignment horizontal="left" vertical="center"/>
    </xf>
    <xf numFmtId="0" fontId="2" fillId="0" borderId="64" xfId="0" applyFont="1" applyBorder="1" applyAlignment="1">
      <alignment horizontal="left" vertical="center"/>
    </xf>
    <xf numFmtId="0" fontId="2" fillId="0" borderId="149" xfId="0" applyFont="1" applyBorder="1" applyAlignment="1">
      <alignment horizontal="left" vertical="center"/>
    </xf>
    <xf numFmtId="0" fontId="3" fillId="0" borderId="159" xfId="0" applyFont="1" applyBorder="1" applyAlignment="1">
      <alignment horizontal="left" vertical="center"/>
    </xf>
    <xf numFmtId="0" fontId="3" fillId="0" borderId="151" xfId="0" applyFont="1" applyBorder="1" applyAlignment="1">
      <alignment horizontal="left" vertical="center"/>
    </xf>
    <xf numFmtId="0" fontId="3" fillId="0" borderId="160" xfId="0" applyFont="1" applyBorder="1" applyAlignment="1">
      <alignment horizontal="left" vertical="center"/>
    </xf>
    <xf numFmtId="0" fontId="3" fillId="0" borderId="143" xfId="0" applyFont="1" applyBorder="1" applyAlignment="1">
      <alignment horizontal="center"/>
    </xf>
    <xf numFmtId="0" fontId="3" fillId="0" borderId="144" xfId="0" applyFont="1" applyBorder="1" applyAlignment="1">
      <alignment horizontal="center"/>
    </xf>
    <xf numFmtId="0" fontId="3" fillId="0" borderId="147" xfId="0" applyFont="1" applyBorder="1" applyAlignment="1">
      <alignment horizontal="center"/>
    </xf>
    <xf numFmtId="0" fontId="48" fillId="0" borderId="93" xfId="0" applyFont="1" applyBorder="1" applyAlignment="1">
      <alignment horizontal="center" vertical="center"/>
    </xf>
    <xf numFmtId="0" fontId="48" fillId="0" borderId="0" xfId="0" applyFont="1" applyBorder="1" applyAlignment="1">
      <alignment horizontal="center" vertical="center"/>
    </xf>
    <xf numFmtId="0" fontId="48" fillId="0" borderId="94" xfId="0" applyFont="1" applyBorder="1" applyAlignment="1">
      <alignment horizontal="center" vertical="center"/>
    </xf>
    <xf numFmtId="0" fontId="3" fillId="0" borderId="159" xfId="0" applyFont="1" applyBorder="1" applyAlignment="1">
      <alignment horizontal="center"/>
    </xf>
    <xf numFmtId="0" fontId="3" fillId="0" borderId="151" xfId="0" applyFont="1" applyBorder="1" applyAlignment="1">
      <alignment horizontal="center"/>
    </xf>
    <xf numFmtId="0" fontId="3" fillId="0" borderId="161" xfId="0" applyFont="1" applyBorder="1" applyAlignment="1">
      <alignment horizontal="center"/>
    </xf>
    <xf numFmtId="0" fontId="0" fillId="0" borderId="162" xfId="0" applyNumberFormat="1" applyFont="1" applyFill="1" applyBorder="1" applyAlignment="1">
      <alignment horizontal="left" vertical="center" wrapText="1"/>
    </xf>
    <xf numFmtId="0" fontId="0" fillId="0" borderId="141" xfId="0" applyNumberFormat="1" applyFont="1" applyFill="1" applyBorder="1" applyAlignment="1">
      <alignment horizontal="left" vertical="center" wrapText="1"/>
    </xf>
    <xf numFmtId="0" fontId="0" fillId="0" borderId="142" xfId="0" applyNumberFormat="1" applyFont="1" applyFill="1" applyBorder="1" applyAlignment="1">
      <alignment horizontal="left" vertical="center" wrapText="1"/>
    </xf>
    <xf numFmtId="0" fontId="2" fillId="0" borderId="63" xfId="0" applyFont="1" applyFill="1" applyBorder="1" applyAlignment="1">
      <alignment horizontal="left" vertical="center"/>
    </xf>
    <xf numFmtId="0" fontId="2" fillId="0" borderId="64" xfId="0" applyFont="1" applyFill="1" applyBorder="1" applyAlignment="1">
      <alignment horizontal="left" vertical="center"/>
    </xf>
    <xf numFmtId="0" fontId="2" fillId="0" borderId="149" xfId="0" applyFont="1" applyFill="1" applyBorder="1" applyAlignment="1">
      <alignment horizontal="left" vertical="center"/>
    </xf>
    <xf numFmtId="0" fontId="42" fillId="14" borderId="153" xfId="0" applyFont="1" applyFill="1" applyBorder="1" applyAlignment="1">
      <alignment horizontal="center" vertical="center"/>
    </xf>
    <xf numFmtId="0" fontId="42" fillId="14" borderId="155" xfId="0" applyFont="1" applyFill="1" applyBorder="1" applyAlignment="1">
      <alignment horizontal="center" vertical="center"/>
    </xf>
    <xf numFmtId="0" fontId="4" fillId="0" borderId="93" xfId="0" applyFont="1" applyBorder="1" applyAlignment="1">
      <alignment horizontal="center" vertical="center" wrapText="1"/>
    </xf>
    <xf numFmtId="0" fontId="4" fillId="0" borderId="0" xfId="0" applyFont="1" applyBorder="1" applyAlignment="1">
      <alignment horizontal="center" vertical="center" wrapText="1"/>
    </xf>
    <xf numFmtId="0" fontId="4" fillId="0" borderId="94" xfId="0" applyFont="1" applyBorder="1" applyAlignment="1">
      <alignment horizontal="center" vertical="center" wrapText="1"/>
    </xf>
    <xf numFmtId="0" fontId="28" fillId="0" borderId="93" xfId="2" applyBorder="1" applyAlignment="1" applyProtection="1">
      <alignment horizontal="center" vertical="center" wrapText="1"/>
    </xf>
    <xf numFmtId="0" fontId="28" fillId="0" borderId="0" xfId="2" applyBorder="1" applyAlignment="1" applyProtection="1">
      <alignment horizontal="center" vertical="center" wrapText="1"/>
    </xf>
    <xf numFmtId="0" fontId="28" fillId="0" borderId="94" xfId="2" applyBorder="1" applyAlignment="1" applyProtection="1">
      <alignment horizontal="center" vertical="center" wrapText="1"/>
    </xf>
    <xf numFmtId="0" fontId="28" fillId="0" borderId="93" xfId="2" applyBorder="1" applyAlignment="1" applyProtection="1">
      <alignment horizontal="center"/>
    </xf>
    <xf numFmtId="0" fontId="28" fillId="0" borderId="0" xfId="2" applyBorder="1" applyAlignment="1" applyProtection="1">
      <alignment horizontal="center"/>
    </xf>
    <xf numFmtId="0" fontId="28" fillId="0" borderId="94" xfId="2" applyBorder="1" applyAlignment="1" applyProtection="1">
      <alignment horizontal="center"/>
    </xf>
    <xf numFmtId="0" fontId="4" fillId="0" borderId="93" xfId="0" applyFont="1" applyBorder="1" applyAlignment="1">
      <alignment horizontal="center" wrapText="1"/>
    </xf>
    <xf numFmtId="0" fontId="4" fillId="0" borderId="0" xfId="0" applyFont="1" applyBorder="1" applyAlignment="1">
      <alignment horizontal="center" wrapText="1"/>
    </xf>
    <xf numFmtId="0" fontId="4" fillId="0" borderId="94" xfId="0" applyFont="1" applyBorder="1" applyAlignment="1">
      <alignment horizontal="center" wrapText="1"/>
    </xf>
    <xf numFmtId="0" fontId="2" fillId="0" borderId="148" xfId="0" applyFont="1" applyBorder="1" applyAlignment="1">
      <alignment horizontal="center"/>
    </xf>
    <xf numFmtId="0" fontId="2" fillId="0" borderId="64" xfId="0" applyFont="1" applyBorder="1" applyAlignment="1">
      <alignment horizontal="center"/>
    </xf>
    <xf numFmtId="0" fontId="2" fillId="0" borderId="163" xfId="0" applyFont="1" applyBorder="1" applyAlignment="1">
      <alignment horizontal="center"/>
    </xf>
    <xf numFmtId="0" fontId="2" fillId="0" borderId="140" xfId="0" applyFont="1" applyBorder="1" applyAlignment="1">
      <alignment horizontal="center"/>
    </xf>
    <xf numFmtId="0" fontId="2" fillId="0" borderId="141" xfId="0" applyFont="1" applyBorder="1" applyAlignment="1">
      <alignment horizontal="center"/>
    </xf>
    <xf numFmtId="0" fontId="2" fillId="0" borderId="164" xfId="0" applyFont="1" applyBorder="1" applyAlignment="1">
      <alignment horizontal="center"/>
    </xf>
    <xf numFmtId="0" fontId="41" fillId="0" borderId="159" xfId="0" applyFont="1" applyBorder="1" applyAlignment="1">
      <alignment horizontal="center" vertical="center"/>
    </xf>
    <xf numFmtId="0" fontId="41" fillId="0" borderId="151" xfId="0" applyFont="1" applyBorder="1" applyAlignment="1">
      <alignment horizontal="center" vertical="center"/>
    </xf>
    <xf numFmtId="0" fontId="41" fillId="0" borderId="160" xfId="0" applyFont="1" applyBorder="1" applyAlignment="1">
      <alignment horizontal="center" vertical="center"/>
    </xf>
    <xf numFmtId="0" fontId="2" fillId="0" borderId="146" xfId="0" applyFont="1" applyBorder="1" applyAlignment="1">
      <alignment horizontal="center"/>
    </xf>
    <xf numFmtId="0" fontId="2" fillId="0" borderId="144" xfId="0" applyFont="1" applyBorder="1" applyAlignment="1">
      <alignment horizontal="center"/>
    </xf>
    <xf numFmtId="0" fontId="2" fillId="0" borderId="165" xfId="0" applyFont="1" applyBorder="1" applyAlignment="1">
      <alignment horizontal="center"/>
    </xf>
    <xf numFmtId="0" fontId="11" fillId="0" borderId="0" xfId="0" applyFont="1" applyBorder="1" applyAlignment="1">
      <alignment horizontal="left" wrapText="1"/>
    </xf>
    <xf numFmtId="0" fontId="0" fillId="0" borderId="0" xfId="0" applyFont="1" applyBorder="1" applyAlignment="1">
      <alignment horizontal="center"/>
    </xf>
    <xf numFmtId="0" fontId="0" fillId="5" borderId="119" xfId="0" applyFill="1" applyBorder="1" applyAlignment="1">
      <alignment horizontal="center"/>
    </xf>
    <xf numFmtId="0" fontId="11" fillId="0" borderId="27" xfId="0" applyFont="1" applyBorder="1" applyAlignment="1" applyProtection="1">
      <alignment horizontal="left"/>
    </xf>
    <xf numFmtId="0" fontId="11" fillId="0" borderId="28" xfId="0" applyFont="1" applyBorder="1" applyAlignment="1" applyProtection="1">
      <alignment horizontal="left"/>
    </xf>
    <xf numFmtId="0" fontId="11" fillId="0" borderId="0" xfId="0" applyFont="1" applyBorder="1" applyAlignment="1">
      <alignment horizontal="center"/>
    </xf>
    <xf numFmtId="168" fontId="11" fillId="0" borderId="0" xfId="1" applyNumberFormat="1" applyFont="1" applyFill="1" applyBorder="1" applyAlignment="1" applyProtection="1">
      <alignment horizontal="center" wrapText="1"/>
    </xf>
    <xf numFmtId="0" fontId="9" fillId="0" borderId="0" xfId="0" applyFont="1" applyBorder="1" applyAlignment="1">
      <alignment horizontal="right" vertical="top" wrapText="1"/>
    </xf>
  </cellXfs>
  <cellStyles count="5">
    <cellStyle name="Hipervínculo" xfId="2" builtinId="8"/>
    <cellStyle name="Millares" xfId="1" builtinId="3"/>
    <cellStyle name="Normal" xfId="0" builtinId="0"/>
    <cellStyle name="Normal_water-boiling-test-wbt-data-calculation-sheet-v322" xfId="3" xr:uid="{00000000-0005-0000-0000-000003000000}"/>
    <cellStyle name="Porcentaje" xfId="4" builtinId="5"/>
  </cellStyles>
  <dxfs count="14">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3" Type="http://schemas.openxmlformats.org/officeDocument/2006/relationships/worksheet" Target="worksheets/sheet3.xml" /><Relationship Id="rId21" Type="http://schemas.openxmlformats.org/officeDocument/2006/relationships/sharedStrings" Target="sharedStrings.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styles" Target="styl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calcChain" Target="calcChain.xml" /></Relationships>
</file>

<file path=xl/ctrlProps/ctrlProp1.xml><?xml version="1.0" encoding="utf-8"?>
<formControlPr xmlns="http://schemas.microsoft.com/office/spreadsheetml/2009/9/main" objectType="Drop" dropLines="16" dropStyle="combo" dx="22" fmlaLink="J4" fmlaRange="'Calorific values'!$C$3:$C$90" sel="1" val="0"/>
</file>

<file path=xl/ctrlProps/ctrlProp2.xml><?xml version="1.0" encoding="utf-8"?>
<formControlPr xmlns="http://schemas.microsoft.com/office/spreadsheetml/2009/9/main" objectType="Drop" dropStyle="combo" dx="22" fmlaLink="J5" fmlaRange="Lists!$C$3:$C$10" sel="1" val="0"/>
</file>

<file path=xl/ctrlProps/ctrlProp3.xml><?xml version="1.0" encoding="utf-8"?>
<formControlPr xmlns="http://schemas.microsoft.com/office/spreadsheetml/2009/9/main" objectType="Drop" dropStyle="combo" dx="22" fmlaLink="E16" fmlaRange="Lists!$B$3:$B$8" sel="1" val="0"/>
</file>

<file path=xl/ctrlProps/ctrlProp4.xml><?xml version="1.0" encoding="utf-8"?>
<formControlPr xmlns="http://schemas.microsoft.com/office/spreadsheetml/2009/9/main" objectType="Drop" dropLines="3" dropStyle="combo" dx="22" fmlaLink="'Test-1'!$W$42" fmlaRange="Lists!$E$3:$E$5" sel="1" val="0"/>
</file>

<file path=xl/ctrlProps/ctrlProp5.xml><?xml version="1.0" encoding="utf-8"?>
<formControlPr xmlns="http://schemas.microsoft.com/office/spreadsheetml/2009/9/main" objectType="Drop" dropStyle="combo" dx="22" fmlaLink="E16" fmlaRange="Lists!$B$3:$B$8" sel="1" val="0"/>
</file>

<file path=xl/ctrlProps/ctrlProp6.xml><?xml version="1.0" encoding="utf-8"?>
<formControlPr xmlns="http://schemas.microsoft.com/office/spreadsheetml/2009/9/main" objectType="Drop" dropLines="3" dropStyle="combo" dx="22" fmlaLink="'Test-2'!$W$42" fmlaRange="Lists!$E$3:$E$5" sel="1" val="0"/>
</file>

<file path=xl/ctrlProps/ctrlProp7.xml><?xml version="1.0" encoding="utf-8"?>
<formControlPr xmlns="http://schemas.microsoft.com/office/spreadsheetml/2009/9/main" objectType="Drop" dropStyle="combo" dx="22" fmlaLink="E16" fmlaRange="Lists!$B$3:$B$8" sel="1" val="0"/>
</file>

<file path=xl/ctrlProps/ctrlProp8.xml><?xml version="1.0" encoding="utf-8"?>
<formControlPr xmlns="http://schemas.microsoft.com/office/spreadsheetml/2009/9/main" objectType="Drop" dropLines="3" dropStyle="combo" dx="22" fmlaLink="'Test-3'!$W$42" fmlaRange="Lists!$E$3:$E$5" sel="1" val="0"/>
</file>

<file path=xl/ctrlProps/ctrlProp9.xml><?xml version="1.0" encoding="utf-8"?>
<formControlPr xmlns="http://schemas.microsoft.com/office/spreadsheetml/2009/9/main" objectType="Drop" dropStyle="combo" dx="22" fmlaLink="E16" fmlaRange="Lists!$B$3:$B$8" sel="1" val="0"/>
</file>

<file path=xl/ctrlProps/ctrlProp10.xml><?xml version="1.0" encoding="utf-8"?>
<formControlPr xmlns="http://schemas.microsoft.com/office/spreadsheetml/2009/9/main" objectType="Drop" dropLines="3" dropStyle="combo" dx="22" fmlaLink="'Test-4'!$W$42" fmlaRange="Lists!$E$3:$E$5" sel="1" val="0"/>
</file>

<file path=xl/ctrlProps/ctrlProp11.xml><?xml version="1.0" encoding="utf-8"?>
<formControlPr xmlns="http://schemas.microsoft.com/office/spreadsheetml/2009/9/main" objectType="Drop" dropStyle="combo" dx="22" fmlaLink="E16" fmlaRange="Lists!$B$3:$B$8" sel="1" val="0"/>
</file>

<file path=xl/ctrlProps/ctrlProp12.xml><?xml version="1.0" encoding="utf-8"?>
<formControlPr xmlns="http://schemas.microsoft.com/office/spreadsheetml/2009/9/main" objectType="Drop" dropLines="3" dropStyle="combo" dx="22" fmlaLink="'Test-5'!$W$42" fmlaRange="Lists!$E$3:$E$5" sel="1" val="0"/>
</file>

<file path=xl/ctrlProps/ctrlProp13.xml><?xml version="1.0" encoding="utf-8"?>
<formControlPr xmlns="http://schemas.microsoft.com/office/spreadsheetml/2009/9/main" objectType="Drop" dropStyle="combo" dx="22" fmlaLink="E16" fmlaRange="Lists!$B$3:$B$8" sel="1" val="0"/>
</file>

<file path=xl/ctrlProps/ctrlProp14.xml><?xml version="1.0" encoding="utf-8"?>
<formControlPr xmlns="http://schemas.microsoft.com/office/spreadsheetml/2009/9/main" objectType="Drop" dropLines="3" dropStyle="combo" dx="22" fmlaLink="'Test-6'!$W$42" fmlaRange="Lists!$E$3:$E$5" sel="1" val="0"/>
</file>

<file path=xl/ctrlProps/ctrlProp15.xml><?xml version="1.0" encoding="utf-8"?>
<formControlPr xmlns="http://schemas.microsoft.com/office/spreadsheetml/2009/9/main" objectType="Drop" dropStyle="combo" dx="22" fmlaLink="E16" fmlaRange="Lists!$B$3:$B$8" sel="1" val="0"/>
</file>

<file path=xl/ctrlProps/ctrlProp16.xml><?xml version="1.0" encoding="utf-8"?>
<formControlPr xmlns="http://schemas.microsoft.com/office/spreadsheetml/2009/9/main" objectType="Drop" dropLines="3" dropStyle="combo" dx="22" fmlaLink="'Test-7'!$W$42" fmlaRange="Lists!$E$3:$E$5" sel="1" val="0"/>
</file>

<file path=xl/ctrlProps/ctrlProp17.xml><?xml version="1.0" encoding="utf-8"?>
<formControlPr xmlns="http://schemas.microsoft.com/office/spreadsheetml/2009/9/main" objectType="Drop" dropStyle="combo" dx="22" fmlaLink="E16" fmlaRange="Lists!$B$3:$B$8" sel="1" val="0"/>
</file>

<file path=xl/ctrlProps/ctrlProp18.xml><?xml version="1.0" encoding="utf-8"?>
<formControlPr xmlns="http://schemas.microsoft.com/office/spreadsheetml/2009/9/main" objectType="Drop" dropLines="3" dropStyle="combo" dx="22" fmlaLink="'Test-8'!$W$42" fmlaRange="Lists!$E$3:$E$5" sel="1" val="0"/>
</file>

<file path=xl/ctrlProps/ctrlProp19.xml><?xml version="1.0" encoding="utf-8"?>
<formControlPr xmlns="http://schemas.microsoft.com/office/spreadsheetml/2009/9/main" objectType="Drop" dropStyle="combo" dx="22" fmlaLink="E16" fmlaRange="Lists!$B$3:$B$8" sel="1" val="0"/>
</file>

<file path=xl/ctrlProps/ctrlProp20.xml><?xml version="1.0" encoding="utf-8"?>
<formControlPr xmlns="http://schemas.microsoft.com/office/spreadsheetml/2009/9/main" objectType="Drop" dropLines="3" dropStyle="combo" dx="22" fmlaLink="'Test-9'!$W$42" fmlaRange="Lists!$E$3:$E$5" sel="1" val="0"/>
</file>

<file path=xl/ctrlProps/ctrlProp21.xml><?xml version="1.0" encoding="utf-8"?>
<formControlPr xmlns="http://schemas.microsoft.com/office/spreadsheetml/2009/9/main" objectType="Drop" dropStyle="combo" dx="22" fmlaLink="E16" fmlaRange="Lists!$B$3:$B$8" sel="1" val="0"/>
</file>

<file path=xl/ctrlProps/ctrlProp22.xml><?xml version="1.0" encoding="utf-8"?>
<formControlPr xmlns="http://schemas.microsoft.com/office/spreadsheetml/2009/9/main" objectType="Drop" dropLines="3" dropStyle="combo" dx="22" fmlaLink="'Test-10'!$W$42" fmlaRange="Lists!$E$3:$E$5" sel="1" val="0"/>
</file>

<file path=xl/drawings/_rels/drawing12.xml.rels><?xml version="1.0" encoding="UTF-8" standalone="yes"?>
<Relationships xmlns="http://schemas.openxmlformats.org/package/2006/relationships"><Relationship Id="rId1" Type="http://schemas.openxmlformats.org/officeDocument/2006/relationships/image" Target="../media/image1.png" /></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wmf" /></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1581150</xdr:colOff>
          <xdr:row>3</xdr:row>
          <xdr:rowOff>76200</xdr:rowOff>
        </xdr:from>
        <xdr:to>
          <xdr:col>12</xdr:col>
          <xdr:colOff>981075</xdr:colOff>
          <xdr:row>4</xdr:row>
          <xdr:rowOff>28575</xdr:rowOff>
        </xdr:to>
        <xdr:sp macro="" textlink="">
          <xdr:nvSpPr>
            <xdr:cNvPr id="7177" name="ComboBox" hidden="1">
              <a:extLst>
                <a:ext uri="{63B3BB69-23CF-44E3-9099-C40C66FF867C}">
                  <a14:compatExt spid="_x0000_s7177"/>
                </a:ext>
                <a:ext uri="{FF2B5EF4-FFF2-40B4-BE49-F238E27FC236}">
                  <a16:creationId xmlns:a16="http://schemas.microsoft.com/office/drawing/2014/main" id="{00000000-0008-0000-0000-0000091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1571625</xdr:colOff>
          <xdr:row>4</xdr:row>
          <xdr:rowOff>76200</xdr:rowOff>
        </xdr:from>
        <xdr:to>
          <xdr:col>12</xdr:col>
          <xdr:colOff>952500</xdr:colOff>
          <xdr:row>5</xdr:row>
          <xdr:rowOff>0</xdr:rowOff>
        </xdr:to>
        <xdr:sp macro="" textlink="">
          <xdr:nvSpPr>
            <xdr:cNvPr id="7178" name="Drop Down 10" hidden="1">
              <a:extLst>
                <a:ext uri="{63B3BB69-23CF-44E3-9099-C40C66FF867C}">
                  <a14:compatExt spid="_x0000_s7178"/>
                </a:ext>
                <a:ext uri="{FF2B5EF4-FFF2-40B4-BE49-F238E27FC236}">
                  <a16:creationId xmlns:a16="http://schemas.microsoft.com/office/drawing/2014/main" id="{00000000-0008-0000-0000-00000A1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838200</xdr:colOff>
          <xdr:row>15</xdr:row>
          <xdr:rowOff>28575</xdr:rowOff>
        </xdr:from>
        <xdr:to>
          <xdr:col>7</xdr:col>
          <xdr:colOff>123825</xdr:colOff>
          <xdr:row>16</xdr:row>
          <xdr:rowOff>28575</xdr:rowOff>
        </xdr:to>
        <xdr:sp macro="" textlink="">
          <xdr:nvSpPr>
            <xdr:cNvPr id="1028" name="ComboBox" hidden="1">
              <a:extLst>
                <a:ext uri="{63B3BB69-23CF-44E3-9099-C40C66FF867C}">
                  <a14:compatExt spid="_x0000_s1028"/>
                </a:ext>
                <a:ext uri="{FF2B5EF4-FFF2-40B4-BE49-F238E27FC236}">
                  <a16:creationId xmlns:a16="http://schemas.microsoft.com/office/drawing/2014/main" id="{00000000-0008-0000-0200-000004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9525</xdr:colOff>
          <xdr:row>41</xdr:row>
          <xdr:rowOff>9525</xdr:rowOff>
        </xdr:from>
        <xdr:to>
          <xdr:col>22</xdr:col>
          <xdr:colOff>552450</xdr:colOff>
          <xdr:row>42</xdr:row>
          <xdr:rowOff>9525</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200-000055040000}"/>
                </a:ext>
              </a:extLst>
            </xdr:cNvPr>
            <xdr:cNvSpPr/>
          </xdr:nvSpPr>
          <xdr:spPr bwMode="auto">
            <a:xfrm>
              <a:off x="0" y="0"/>
              <a:ext cx="0" cy="0"/>
            </a:xfrm>
            <a:prstGeom prst="rect">
              <a:avLst/>
            </a:prstGeom>
            <a:solidFill>
              <a:srgbClr val="FFFFFF"/>
            </a:solid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838200</xdr:colOff>
          <xdr:row>15</xdr:row>
          <xdr:rowOff>28575</xdr:rowOff>
        </xdr:from>
        <xdr:to>
          <xdr:col>7</xdr:col>
          <xdr:colOff>123825</xdr:colOff>
          <xdr:row>16</xdr:row>
          <xdr:rowOff>28575</xdr:rowOff>
        </xdr:to>
        <xdr:sp macro="" textlink="">
          <xdr:nvSpPr>
            <xdr:cNvPr id="10244" name="ComboBox" hidden="1">
              <a:extLst>
                <a:ext uri="{63B3BB69-23CF-44E3-9099-C40C66FF867C}">
                  <a14:compatExt spid="_x0000_s10244"/>
                </a:ext>
                <a:ext uri="{FF2B5EF4-FFF2-40B4-BE49-F238E27FC236}">
                  <a16:creationId xmlns:a16="http://schemas.microsoft.com/office/drawing/2014/main" id="{00000000-0008-0000-0300-0000042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41</xdr:row>
          <xdr:rowOff>0</xdr:rowOff>
        </xdr:from>
        <xdr:to>
          <xdr:col>22</xdr:col>
          <xdr:colOff>552450</xdr:colOff>
          <xdr:row>42</xdr:row>
          <xdr:rowOff>0</xdr:rowOff>
        </xdr:to>
        <xdr:sp macro="" textlink="">
          <xdr:nvSpPr>
            <xdr:cNvPr id="10311" name="Drop Down 71" hidden="1">
              <a:extLst>
                <a:ext uri="{63B3BB69-23CF-44E3-9099-C40C66FF867C}">
                  <a14:compatExt spid="_x0000_s10311"/>
                </a:ext>
                <a:ext uri="{FF2B5EF4-FFF2-40B4-BE49-F238E27FC236}">
                  <a16:creationId xmlns:a16="http://schemas.microsoft.com/office/drawing/2014/main" id="{00000000-0008-0000-0300-000047280000}"/>
                </a:ext>
              </a:extLst>
            </xdr:cNvPr>
            <xdr:cNvSpPr/>
          </xdr:nvSpPr>
          <xdr:spPr bwMode="auto">
            <a:xfrm>
              <a:off x="0" y="0"/>
              <a:ext cx="0" cy="0"/>
            </a:xfrm>
            <a:prstGeom prst="rect">
              <a:avLst/>
            </a:prstGeom>
            <a:solidFill>
              <a:srgbClr val="FFFFFF"/>
            </a:solid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838200</xdr:colOff>
          <xdr:row>15</xdr:row>
          <xdr:rowOff>28575</xdr:rowOff>
        </xdr:from>
        <xdr:to>
          <xdr:col>7</xdr:col>
          <xdr:colOff>123825</xdr:colOff>
          <xdr:row>16</xdr:row>
          <xdr:rowOff>28575</xdr:rowOff>
        </xdr:to>
        <xdr:sp macro="" textlink="">
          <xdr:nvSpPr>
            <xdr:cNvPr id="11268" name="ComboBox" hidden="1">
              <a:extLst>
                <a:ext uri="{63B3BB69-23CF-44E3-9099-C40C66FF867C}">
                  <a14:compatExt spid="_x0000_s11268"/>
                </a:ext>
                <a:ext uri="{FF2B5EF4-FFF2-40B4-BE49-F238E27FC236}">
                  <a16:creationId xmlns:a16="http://schemas.microsoft.com/office/drawing/2014/main" id="{00000000-0008-0000-0400-0000042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41</xdr:row>
          <xdr:rowOff>9525</xdr:rowOff>
        </xdr:from>
        <xdr:to>
          <xdr:col>22</xdr:col>
          <xdr:colOff>619125</xdr:colOff>
          <xdr:row>42</xdr:row>
          <xdr:rowOff>9525</xdr:rowOff>
        </xdr:to>
        <xdr:sp macro="" textlink="">
          <xdr:nvSpPr>
            <xdr:cNvPr id="11332" name="Drop Down 68" hidden="1">
              <a:extLst>
                <a:ext uri="{63B3BB69-23CF-44E3-9099-C40C66FF867C}">
                  <a14:compatExt spid="_x0000_s11332"/>
                </a:ext>
                <a:ext uri="{FF2B5EF4-FFF2-40B4-BE49-F238E27FC236}">
                  <a16:creationId xmlns:a16="http://schemas.microsoft.com/office/drawing/2014/main" id="{00000000-0008-0000-0400-0000442C0000}"/>
                </a:ext>
              </a:extLst>
            </xdr:cNvPr>
            <xdr:cNvSpPr/>
          </xdr:nvSpPr>
          <xdr:spPr bwMode="auto">
            <a:xfrm>
              <a:off x="0" y="0"/>
              <a:ext cx="0" cy="0"/>
            </a:xfrm>
            <a:prstGeom prst="rect">
              <a:avLst/>
            </a:prstGeom>
            <a:solidFill>
              <a:srgbClr val="FFFFFF"/>
            </a:solid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838200</xdr:colOff>
          <xdr:row>15</xdr:row>
          <xdr:rowOff>28575</xdr:rowOff>
        </xdr:from>
        <xdr:to>
          <xdr:col>7</xdr:col>
          <xdr:colOff>123825</xdr:colOff>
          <xdr:row>16</xdr:row>
          <xdr:rowOff>28575</xdr:rowOff>
        </xdr:to>
        <xdr:sp macro="" textlink="">
          <xdr:nvSpPr>
            <xdr:cNvPr id="16385" name="ComboBox" hidden="1">
              <a:extLst>
                <a:ext uri="{63B3BB69-23CF-44E3-9099-C40C66FF867C}">
                  <a14:compatExt spid="_x0000_s16385"/>
                </a:ext>
                <a:ext uri="{FF2B5EF4-FFF2-40B4-BE49-F238E27FC236}">
                  <a16:creationId xmlns:a16="http://schemas.microsoft.com/office/drawing/2014/main" id="{00000000-0008-0000-0500-0000014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41</xdr:row>
          <xdr:rowOff>9525</xdr:rowOff>
        </xdr:from>
        <xdr:to>
          <xdr:col>22</xdr:col>
          <xdr:colOff>619125</xdr:colOff>
          <xdr:row>42</xdr:row>
          <xdr:rowOff>9525</xdr:rowOff>
        </xdr:to>
        <xdr:sp macro="" textlink="">
          <xdr:nvSpPr>
            <xdr:cNvPr id="16386" name="Drop Down 2" hidden="1">
              <a:extLst>
                <a:ext uri="{63B3BB69-23CF-44E3-9099-C40C66FF867C}">
                  <a14:compatExt spid="_x0000_s16386"/>
                </a:ext>
                <a:ext uri="{FF2B5EF4-FFF2-40B4-BE49-F238E27FC236}">
                  <a16:creationId xmlns:a16="http://schemas.microsoft.com/office/drawing/2014/main" id="{00000000-0008-0000-0500-000002400000}"/>
                </a:ext>
              </a:extLst>
            </xdr:cNvPr>
            <xdr:cNvSpPr/>
          </xdr:nvSpPr>
          <xdr:spPr bwMode="auto">
            <a:xfrm>
              <a:off x="0" y="0"/>
              <a:ext cx="0" cy="0"/>
            </a:xfrm>
            <a:prstGeom prst="rect">
              <a:avLst/>
            </a:prstGeom>
            <a:solidFill>
              <a:srgbClr val="FFFFFF"/>
            </a:solid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838200</xdr:colOff>
          <xdr:row>15</xdr:row>
          <xdr:rowOff>28575</xdr:rowOff>
        </xdr:from>
        <xdr:to>
          <xdr:col>7</xdr:col>
          <xdr:colOff>123825</xdr:colOff>
          <xdr:row>16</xdr:row>
          <xdr:rowOff>28575</xdr:rowOff>
        </xdr:to>
        <xdr:sp macro="" textlink="">
          <xdr:nvSpPr>
            <xdr:cNvPr id="18433" name="ComboBox" hidden="1">
              <a:extLst>
                <a:ext uri="{63B3BB69-23CF-44E3-9099-C40C66FF867C}">
                  <a14:compatExt spid="_x0000_s18433"/>
                </a:ext>
                <a:ext uri="{FF2B5EF4-FFF2-40B4-BE49-F238E27FC236}">
                  <a16:creationId xmlns:a16="http://schemas.microsoft.com/office/drawing/2014/main" id="{00000000-0008-0000-0600-0000014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41</xdr:row>
          <xdr:rowOff>9525</xdr:rowOff>
        </xdr:from>
        <xdr:to>
          <xdr:col>22</xdr:col>
          <xdr:colOff>619125</xdr:colOff>
          <xdr:row>42</xdr:row>
          <xdr:rowOff>9525</xdr:rowOff>
        </xdr:to>
        <xdr:sp macro="" textlink="">
          <xdr:nvSpPr>
            <xdr:cNvPr id="18434" name="Drop Down 2" hidden="1">
              <a:extLst>
                <a:ext uri="{63B3BB69-23CF-44E3-9099-C40C66FF867C}">
                  <a14:compatExt spid="_x0000_s18434"/>
                </a:ext>
                <a:ext uri="{FF2B5EF4-FFF2-40B4-BE49-F238E27FC236}">
                  <a16:creationId xmlns:a16="http://schemas.microsoft.com/office/drawing/2014/main" id="{00000000-0008-0000-0600-000002480000}"/>
                </a:ext>
              </a:extLst>
            </xdr:cNvPr>
            <xdr:cNvSpPr/>
          </xdr:nvSpPr>
          <xdr:spPr bwMode="auto">
            <a:xfrm>
              <a:off x="0" y="0"/>
              <a:ext cx="0" cy="0"/>
            </a:xfrm>
            <a:prstGeom prst="rect">
              <a:avLst/>
            </a:prstGeom>
            <a:solidFill>
              <a:srgbClr val="FFFFFF"/>
            </a:solid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838200</xdr:colOff>
          <xdr:row>15</xdr:row>
          <xdr:rowOff>28575</xdr:rowOff>
        </xdr:from>
        <xdr:to>
          <xdr:col>7</xdr:col>
          <xdr:colOff>123825</xdr:colOff>
          <xdr:row>16</xdr:row>
          <xdr:rowOff>28575</xdr:rowOff>
        </xdr:to>
        <xdr:sp macro="" textlink="">
          <xdr:nvSpPr>
            <xdr:cNvPr id="17409" name="ComboBox" hidden="1">
              <a:extLst>
                <a:ext uri="{63B3BB69-23CF-44E3-9099-C40C66FF867C}">
                  <a14:compatExt spid="_x0000_s17409"/>
                </a:ext>
                <a:ext uri="{FF2B5EF4-FFF2-40B4-BE49-F238E27FC236}">
                  <a16:creationId xmlns:a16="http://schemas.microsoft.com/office/drawing/2014/main" id="{00000000-0008-0000-0700-0000014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41</xdr:row>
          <xdr:rowOff>9525</xdr:rowOff>
        </xdr:from>
        <xdr:to>
          <xdr:col>22</xdr:col>
          <xdr:colOff>619125</xdr:colOff>
          <xdr:row>42</xdr:row>
          <xdr:rowOff>9525</xdr:rowOff>
        </xdr:to>
        <xdr:sp macro="" textlink="">
          <xdr:nvSpPr>
            <xdr:cNvPr id="17410" name="Drop Down 2" hidden="1">
              <a:extLst>
                <a:ext uri="{63B3BB69-23CF-44E3-9099-C40C66FF867C}">
                  <a14:compatExt spid="_x0000_s17410"/>
                </a:ext>
                <a:ext uri="{FF2B5EF4-FFF2-40B4-BE49-F238E27FC236}">
                  <a16:creationId xmlns:a16="http://schemas.microsoft.com/office/drawing/2014/main" id="{00000000-0008-0000-0700-000002440000}"/>
                </a:ext>
              </a:extLst>
            </xdr:cNvPr>
            <xdr:cNvSpPr/>
          </xdr:nvSpPr>
          <xdr:spPr bwMode="auto">
            <a:xfrm>
              <a:off x="0" y="0"/>
              <a:ext cx="0" cy="0"/>
            </a:xfrm>
            <a:prstGeom prst="rect">
              <a:avLst/>
            </a:prstGeom>
            <a:solidFill>
              <a:srgbClr val="FFFFFF"/>
            </a:solid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838200</xdr:colOff>
          <xdr:row>15</xdr:row>
          <xdr:rowOff>28575</xdr:rowOff>
        </xdr:from>
        <xdr:to>
          <xdr:col>7</xdr:col>
          <xdr:colOff>123825</xdr:colOff>
          <xdr:row>16</xdr:row>
          <xdr:rowOff>28575</xdr:rowOff>
        </xdr:to>
        <xdr:sp macro="" textlink="">
          <xdr:nvSpPr>
            <xdr:cNvPr id="19457" name="ComboBox" hidden="1">
              <a:extLst>
                <a:ext uri="{63B3BB69-23CF-44E3-9099-C40C66FF867C}">
                  <a14:compatExt spid="_x0000_s19457"/>
                </a:ext>
                <a:ext uri="{FF2B5EF4-FFF2-40B4-BE49-F238E27FC236}">
                  <a16:creationId xmlns:a16="http://schemas.microsoft.com/office/drawing/2014/main" id="{00000000-0008-0000-0800-000001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41</xdr:row>
          <xdr:rowOff>9525</xdr:rowOff>
        </xdr:from>
        <xdr:to>
          <xdr:col>22</xdr:col>
          <xdr:colOff>619125</xdr:colOff>
          <xdr:row>42</xdr:row>
          <xdr:rowOff>9525</xdr:rowOff>
        </xdr:to>
        <xdr:sp macro="" textlink="">
          <xdr:nvSpPr>
            <xdr:cNvPr id="19458" name="Drop Down 2" hidden="1">
              <a:extLst>
                <a:ext uri="{63B3BB69-23CF-44E3-9099-C40C66FF867C}">
                  <a14:compatExt spid="_x0000_s19458"/>
                </a:ext>
                <a:ext uri="{FF2B5EF4-FFF2-40B4-BE49-F238E27FC236}">
                  <a16:creationId xmlns:a16="http://schemas.microsoft.com/office/drawing/2014/main" id="{00000000-0008-0000-0800-0000024C0000}"/>
                </a:ext>
              </a:extLst>
            </xdr:cNvPr>
            <xdr:cNvSpPr/>
          </xdr:nvSpPr>
          <xdr:spPr bwMode="auto">
            <a:xfrm>
              <a:off x="0" y="0"/>
              <a:ext cx="0" cy="0"/>
            </a:xfrm>
            <a:prstGeom prst="rect">
              <a:avLst/>
            </a:prstGeom>
            <a:solidFill>
              <a:srgbClr val="FFFFFF"/>
            </a:solid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838200</xdr:colOff>
          <xdr:row>15</xdr:row>
          <xdr:rowOff>28575</xdr:rowOff>
        </xdr:from>
        <xdr:to>
          <xdr:col>7</xdr:col>
          <xdr:colOff>123825</xdr:colOff>
          <xdr:row>16</xdr:row>
          <xdr:rowOff>28575</xdr:rowOff>
        </xdr:to>
        <xdr:sp macro="" textlink="">
          <xdr:nvSpPr>
            <xdr:cNvPr id="20481" name="ComboBox" hidden="1">
              <a:extLst>
                <a:ext uri="{63B3BB69-23CF-44E3-9099-C40C66FF867C}">
                  <a14:compatExt spid="_x0000_s20481"/>
                </a:ext>
                <a:ext uri="{FF2B5EF4-FFF2-40B4-BE49-F238E27FC236}">
                  <a16:creationId xmlns:a16="http://schemas.microsoft.com/office/drawing/2014/main" id="{00000000-0008-0000-0900-0000015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41</xdr:row>
          <xdr:rowOff>9525</xdr:rowOff>
        </xdr:from>
        <xdr:to>
          <xdr:col>22</xdr:col>
          <xdr:colOff>619125</xdr:colOff>
          <xdr:row>42</xdr:row>
          <xdr:rowOff>9525</xdr:rowOff>
        </xdr:to>
        <xdr:sp macro="" textlink="">
          <xdr:nvSpPr>
            <xdr:cNvPr id="20482" name="Drop Down 2" hidden="1">
              <a:extLst>
                <a:ext uri="{63B3BB69-23CF-44E3-9099-C40C66FF867C}">
                  <a14:compatExt spid="_x0000_s20482"/>
                </a:ext>
                <a:ext uri="{FF2B5EF4-FFF2-40B4-BE49-F238E27FC236}">
                  <a16:creationId xmlns:a16="http://schemas.microsoft.com/office/drawing/2014/main" id="{00000000-0008-0000-0900-000002500000}"/>
                </a:ext>
              </a:extLst>
            </xdr:cNvPr>
            <xdr:cNvSpPr/>
          </xdr:nvSpPr>
          <xdr:spPr bwMode="auto">
            <a:xfrm>
              <a:off x="0" y="0"/>
              <a:ext cx="0" cy="0"/>
            </a:xfrm>
            <a:prstGeom prst="rect">
              <a:avLst/>
            </a:prstGeom>
            <a:solidFill>
              <a:srgbClr val="FFFFFF"/>
            </a:solid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838200</xdr:colOff>
          <xdr:row>15</xdr:row>
          <xdr:rowOff>28575</xdr:rowOff>
        </xdr:from>
        <xdr:to>
          <xdr:col>7</xdr:col>
          <xdr:colOff>123825</xdr:colOff>
          <xdr:row>16</xdr:row>
          <xdr:rowOff>28575</xdr:rowOff>
        </xdr:to>
        <xdr:sp macro="" textlink="">
          <xdr:nvSpPr>
            <xdr:cNvPr id="21505" name="ComboBox" hidden="1">
              <a:extLst>
                <a:ext uri="{63B3BB69-23CF-44E3-9099-C40C66FF867C}">
                  <a14:compatExt spid="_x0000_s21505"/>
                </a:ext>
                <a:ext uri="{FF2B5EF4-FFF2-40B4-BE49-F238E27FC236}">
                  <a16:creationId xmlns:a16="http://schemas.microsoft.com/office/drawing/2014/main" id="{00000000-0008-0000-0A00-0000015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41</xdr:row>
          <xdr:rowOff>9525</xdr:rowOff>
        </xdr:from>
        <xdr:to>
          <xdr:col>22</xdr:col>
          <xdr:colOff>619125</xdr:colOff>
          <xdr:row>42</xdr:row>
          <xdr:rowOff>9525</xdr:rowOff>
        </xdr:to>
        <xdr:sp macro="" textlink="">
          <xdr:nvSpPr>
            <xdr:cNvPr id="21506" name="Drop Down 2" hidden="1">
              <a:extLst>
                <a:ext uri="{63B3BB69-23CF-44E3-9099-C40C66FF867C}">
                  <a14:compatExt spid="_x0000_s21506"/>
                </a:ext>
                <a:ext uri="{FF2B5EF4-FFF2-40B4-BE49-F238E27FC236}">
                  <a16:creationId xmlns:a16="http://schemas.microsoft.com/office/drawing/2014/main" id="{00000000-0008-0000-0A00-000002540000}"/>
                </a:ext>
              </a:extLst>
            </xdr:cNvPr>
            <xdr:cNvSpPr/>
          </xdr:nvSpPr>
          <xdr:spPr bwMode="auto">
            <a:xfrm>
              <a:off x="0" y="0"/>
              <a:ext cx="0" cy="0"/>
            </a:xfrm>
            <a:prstGeom prst="rect">
              <a:avLst/>
            </a:prstGeom>
            <a:solidFill>
              <a:srgbClr val="FFFFFF"/>
            </a:solid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838200</xdr:colOff>
          <xdr:row>15</xdr:row>
          <xdr:rowOff>28575</xdr:rowOff>
        </xdr:from>
        <xdr:to>
          <xdr:col>7</xdr:col>
          <xdr:colOff>123825</xdr:colOff>
          <xdr:row>16</xdr:row>
          <xdr:rowOff>28575</xdr:rowOff>
        </xdr:to>
        <xdr:sp macro="" textlink="">
          <xdr:nvSpPr>
            <xdr:cNvPr id="22529" name="ComboBox" hidden="1">
              <a:extLst>
                <a:ext uri="{63B3BB69-23CF-44E3-9099-C40C66FF867C}">
                  <a14:compatExt spid="_x0000_s22529"/>
                </a:ext>
                <a:ext uri="{FF2B5EF4-FFF2-40B4-BE49-F238E27FC236}">
                  <a16:creationId xmlns:a16="http://schemas.microsoft.com/office/drawing/2014/main" id="{00000000-0008-0000-0B00-0000015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41</xdr:row>
          <xdr:rowOff>9525</xdr:rowOff>
        </xdr:from>
        <xdr:to>
          <xdr:col>22</xdr:col>
          <xdr:colOff>619125</xdr:colOff>
          <xdr:row>42</xdr:row>
          <xdr:rowOff>9525</xdr:rowOff>
        </xdr:to>
        <xdr:sp macro="" textlink="">
          <xdr:nvSpPr>
            <xdr:cNvPr id="22530" name="Drop Down 2" hidden="1">
              <a:extLst>
                <a:ext uri="{63B3BB69-23CF-44E3-9099-C40C66FF867C}">
                  <a14:compatExt spid="_x0000_s22530"/>
                </a:ext>
                <a:ext uri="{FF2B5EF4-FFF2-40B4-BE49-F238E27FC236}">
                  <a16:creationId xmlns:a16="http://schemas.microsoft.com/office/drawing/2014/main" id="{00000000-0008-0000-0B00-000002580000}"/>
                </a:ext>
              </a:extLst>
            </xdr:cNvPr>
            <xdr:cNvSpPr/>
          </xdr:nvSpPr>
          <xdr:spPr bwMode="auto">
            <a:xfrm>
              <a:off x="0" y="0"/>
              <a:ext cx="0" cy="0"/>
            </a:xfrm>
            <a:prstGeom prst="rect">
              <a:avLst/>
            </a:prstGeom>
            <a:solidFill>
              <a:srgbClr val="FFFFFF"/>
            </a:solid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editAs="oneCell">
    <xdr:from>
      <xdr:col>4</xdr:col>
      <xdr:colOff>161925</xdr:colOff>
      <xdr:row>1</xdr:row>
      <xdr:rowOff>38100</xdr:rowOff>
    </xdr:from>
    <xdr:to>
      <xdr:col>7</xdr:col>
      <xdr:colOff>161925</xdr:colOff>
      <xdr:row>1</xdr:row>
      <xdr:rowOff>914400</xdr:rowOff>
    </xdr:to>
    <xdr:pic>
      <xdr:nvPicPr>
        <xdr:cNvPr id="15600" name="Picture 1">
          <a:extLst>
            <a:ext uri="{FF2B5EF4-FFF2-40B4-BE49-F238E27FC236}">
              <a16:creationId xmlns:a16="http://schemas.microsoft.com/office/drawing/2014/main" id="{00000000-0008-0000-0D00-0000F03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2725" y="200025"/>
          <a:ext cx="15430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39</xdr:row>
      <xdr:rowOff>38100</xdr:rowOff>
    </xdr:from>
    <xdr:to>
      <xdr:col>7</xdr:col>
      <xdr:colOff>171450</xdr:colOff>
      <xdr:row>39</xdr:row>
      <xdr:rowOff>914400</xdr:rowOff>
    </xdr:to>
    <xdr:pic>
      <xdr:nvPicPr>
        <xdr:cNvPr id="15601" name="Picture 1">
          <a:extLst>
            <a:ext uri="{FF2B5EF4-FFF2-40B4-BE49-F238E27FC236}">
              <a16:creationId xmlns:a16="http://schemas.microsoft.com/office/drawing/2014/main" id="{00000000-0008-0000-0D00-0000F13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0" y="8953500"/>
          <a:ext cx="15430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104775</xdr:colOff>
      <xdr:row>8</xdr:row>
      <xdr:rowOff>19050</xdr:rowOff>
    </xdr:from>
    <xdr:to>
      <xdr:col>20</xdr:col>
      <xdr:colOff>19050</xdr:colOff>
      <xdr:row>20</xdr:row>
      <xdr:rowOff>9525</xdr:rowOff>
    </xdr:to>
    <xdr:sp macro="" textlink="" fLocksText="0">
      <xdr:nvSpPr>
        <xdr:cNvPr id="5121" name="Text Box 1">
          <a:extLst>
            <a:ext uri="{FF2B5EF4-FFF2-40B4-BE49-F238E27FC236}">
              <a16:creationId xmlns:a16="http://schemas.microsoft.com/office/drawing/2014/main" id="{00000000-0008-0000-0E00-000001140000}"/>
            </a:ext>
          </a:extLst>
        </xdr:cNvPr>
        <xdr:cNvSpPr txBox="1">
          <a:spLocks noChangeArrowheads="1"/>
        </xdr:cNvSpPr>
      </xdr:nvSpPr>
      <xdr:spPr bwMode="auto">
        <a:xfrm>
          <a:off x="5362575" y="1819275"/>
          <a:ext cx="2543175" cy="1943100"/>
        </a:xfrm>
        <a:prstGeom prst="rect">
          <a:avLst/>
        </a:prstGeom>
        <a:noFill/>
        <a:ln w="9360">
          <a:solidFill>
            <a:srgbClr val="000000"/>
          </a:solidFill>
          <a:miter lim="800000"/>
          <a:headEnd/>
          <a:tailEnd/>
        </a:ln>
        <a:effectLst/>
      </xdr:spPr>
      <xdr:txBody>
        <a:bodyPr vertOverflow="clip" wrap="square" lIns="90000" tIns="46800" rIns="90000" bIns="46800" anchor="t" upright="1"/>
        <a:lstStyle/>
        <a:p>
          <a:pPr algn="l" rtl="0">
            <a:defRPr sz="1000"/>
          </a:pPr>
          <a:r>
            <a:rPr lang="en-US" sz="1000" b="0" i="0" u="none" strike="noStrike" baseline="0">
              <a:solidFill>
                <a:srgbClr val="000000"/>
              </a:solidFill>
              <a:latin typeface="Arial"/>
              <a:cs typeface="Arial"/>
            </a:rPr>
            <a:t>The Delmhorst J-2000 moisture analyzer measures fuel moisture on a dry basis.  To find moisture on a wet basis, use the following equation: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This spreadsheet does this calculation automatically if a value is entered in the dry-basis space.  Output requires moisture content on a wet basis, so the conversion is very important. </a:t>
          </a:r>
        </a:p>
      </xdr:txBody>
    </xdr:sp>
    <xdr:clientData/>
  </xdr:twoCellAnchor>
  <mc:AlternateContent xmlns:mc="http://schemas.openxmlformats.org/markup-compatibility/2006">
    <mc:Choice xmlns:a14="http://schemas.microsoft.com/office/drawing/2010/main" Requires="a14">
      <xdr:twoCellAnchor>
        <xdr:from>
          <xdr:col>16</xdr:col>
          <xdr:colOff>9525</xdr:colOff>
          <xdr:row>10</xdr:row>
          <xdr:rowOff>171450</xdr:rowOff>
        </xdr:from>
        <xdr:to>
          <xdr:col>17</xdr:col>
          <xdr:colOff>400050</xdr:colOff>
          <xdr:row>12</xdr:row>
          <xdr:rowOff>219075</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E00-000002140000}"/>
                </a:ext>
              </a:extLst>
            </xdr:cNvPr>
            <xdr:cNvSpPr/>
          </xdr:nvSpPr>
          <xdr:spPr bwMode="auto">
            <a:xfrm>
              <a:off x="0" y="0"/>
              <a:ext cx="0" cy="0"/>
            </a:xfrm>
            <a:prstGeom prst="rect">
              <a:avLst/>
            </a:prstGeom>
            <a:blipFill dpi="0" rotWithShape="0">
              <a:blip xmlns:r="http://schemas.openxmlformats.org/officeDocument/2006/relationships"/>
              <a:srcRect/>
              <a:stretch>
                <a:fillRect/>
              </a:stretch>
            </a:blip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1.xml" /><Relationship Id="rId1" Type="http://schemas.openxmlformats.org/officeDocument/2006/relationships/printerSettings" Target="../printerSettings/printerSettings1.bin" /><Relationship Id="rId5" Type="http://schemas.openxmlformats.org/officeDocument/2006/relationships/ctrlProp" Target="../ctrlProps/ctrlProp2.xml" /><Relationship Id="rId4" Type="http://schemas.openxmlformats.org/officeDocument/2006/relationships/ctrlProp" Target="../ctrlProps/ctrlProp1.xml"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 /><Relationship Id="rId2" Type="http://schemas.openxmlformats.org/officeDocument/2006/relationships/drawing" Target="../drawings/drawing2.xml" /><Relationship Id="rId1" Type="http://schemas.openxmlformats.org/officeDocument/2006/relationships/printerSettings" Target="../printerSettings/printerSettings3.bin" /><Relationship Id="rId6" Type="http://schemas.openxmlformats.org/officeDocument/2006/relationships/comments" Target="../comments1.xml" /><Relationship Id="rId5" Type="http://schemas.openxmlformats.org/officeDocument/2006/relationships/ctrlProp" Target="../ctrlProps/ctrlProp4.xml" /><Relationship Id="rId4" Type="http://schemas.openxmlformats.org/officeDocument/2006/relationships/ctrlProp" Target="../ctrlProps/ctrlProp3.xml" /></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 /><Relationship Id="rId2" Type="http://schemas.openxmlformats.org/officeDocument/2006/relationships/drawing" Target="../drawings/drawing3.xml" /><Relationship Id="rId1" Type="http://schemas.openxmlformats.org/officeDocument/2006/relationships/printerSettings" Target="../printerSettings/printerSettings4.bin" /><Relationship Id="rId6" Type="http://schemas.openxmlformats.org/officeDocument/2006/relationships/comments" Target="../comments2.xml" /><Relationship Id="rId5" Type="http://schemas.openxmlformats.org/officeDocument/2006/relationships/ctrlProp" Target="../ctrlProps/ctrlProp6.xml" /><Relationship Id="rId4" Type="http://schemas.openxmlformats.org/officeDocument/2006/relationships/ctrlProp" Target="../ctrlProps/ctrlProp5.xml" /></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 /><Relationship Id="rId2" Type="http://schemas.openxmlformats.org/officeDocument/2006/relationships/drawing" Target="../drawings/drawing4.xml" /><Relationship Id="rId1" Type="http://schemas.openxmlformats.org/officeDocument/2006/relationships/printerSettings" Target="../printerSettings/printerSettings5.bin" /><Relationship Id="rId6" Type="http://schemas.openxmlformats.org/officeDocument/2006/relationships/comments" Target="../comments3.xml" /><Relationship Id="rId5" Type="http://schemas.openxmlformats.org/officeDocument/2006/relationships/ctrlProp" Target="../ctrlProps/ctrlProp8.xml" /><Relationship Id="rId4" Type="http://schemas.openxmlformats.org/officeDocument/2006/relationships/ctrlProp" Target="../ctrlProps/ctrlProp7.xml" /></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 /><Relationship Id="rId2" Type="http://schemas.openxmlformats.org/officeDocument/2006/relationships/drawing" Target="../drawings/drawing5.xml" /><Relationship Id="rId1" Type="http://schemas.openxmlformats.org/officeDocument/2006/relationships/printerSettings" Target="../printerSettings/printerSettings6.bin" /><Relationship Id="rId6" Type="http://schemas.openxmlformats.org/officeDocument/2006/relationships/comments" Target="../comments4.xml" /><Relationship Id="rId5" Type="http://schemas.openxmlformats.org/officeDocument/2006/relationships/ctrlProp" Target="../ctrlProps/ctrlProp10.xml" /><Relationship Id="rId4" Type="http://schemas.openxmlformats.org/officeDocument/2006/relationships/ctrlProp" Target="../ctrlProps/ctrlProp9.xml" /></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 /><Relationship Id="rId2" Type="http://schemas.openxmlformats.org/officeDocument/2006/relationships/drawing" Target="../drawings/drawing6.xml" /><Relationship Id="rId1" Type="http://schemas.openxmlformats.org/officeDocument/2006/relationships/printerSettings" Target="../printerSettings/printerSettings7.bin" /><Relationship Id="rId6" Type="http://schemas.openxmlformats.org/officeDocument/2006/relationships/comments" Target="../comments5.xml" /><Relationship Id="rId5" Type="http://schemas.openxmlformats.org/officeDocument/2006/relationships/ctrlProp" Target="../ctrlProps/ctrlProp12.xml" /><Relationship Id="rId4" Type="http://schemas.openxmlformats.org/officeDocument/2006/relationships/ctrlProp" Target="../ctrlProps/ctrlProp11.xml" /></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 /><Relationship Id="rId2" Type="http://schemas.openxmlformats.org/officeDocument/2006/relationships/drawing" Target="../drawings/drawing7.xml" /><Relationship Id="rId1" Type="http://schemas.openxmlformats.org/officeDocument/2006/relationships/printerSettings" Target="../printerSettings/printerSettings8.bin" /><Relationship Id="rId6" Type="http://schemas.openxmlformats.org/officeDocument/2006/relationships/comments" Target="../comments6.xml" /><Relationship Id="rId5" Type="http://schemas.openxmlformats.org/officeDocument/2006/relationships/ctrlProp" Target="../ctrlProps/ctrlProp14.xml" /><Relationship Id="rId4" Type="http://schemas.openxmlformats.org/officeDocument/2006/relationships/ctrlProp" Target="../ctrlProps/ctrlProp13.xml" /></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 /><Relationship Id="rId2" Type="http://schemas.openxmlformats.org/officeDocument/2006/relationships/drawing" Target="../drawings/drawing8.xml" /><Relationship Id="rId1" Type="http://schemas.openxmlformats.org/officeDocument/2006/relationships/printerSettings" Target="../printerSettings/printerSettings9.bin" /><Relationship Id="rId6" Type="http://schemas.openxmlformats.org/officeDocument/2006/relationships/comments" Target="../comments7.xml" /><Relationship Id="rId5" Type="http://schemas.openxmlformats.org/officeDocument/2006/relationships/ctrlProp" Target="../ctrlProps/ctrlProp16.xml" /><Relationship Id="rId4" Type="http://schemas.openxmlformats.org/officeDocument/2006/relationships/ctrlProp" Target="../ctrlProps/ctrlProp15.xml" /></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 /><Relationship Id="rId2" Type="http://schemas.openxmlformats.org/officeDocument/2006/relationships/drawing" Target="../drawings/drawing9.xml" /><Relationship Id="rId1" Type="http://schemas.openxmlformats.org/officeDocument/2006/relationships/printerSettings" Target="../printerSettings/printerSettings10.bin" /><Relationship Id="rId6" Type="http://schemas.openxmlformats.org/officeDocument/2006/relationships/comments" Target="../comments8.xml" /><Relationship Id="rId5" Type="http://schemas.openxmlformats.org/officeDocument/2006/relationships/ctrlProp" Target="../ctrlProps/ctrlProp18.xml" /><Relationship Id="rId4" Type="http://schemas.openxmlformats.org/officeDocument/2006/relationships/ctrlProp" Target="../ctrlProps/ctrlProp17.xml" /></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 /><Relationship Id="rId2" Type="http://schemas.openxmlformats.org/officeDocument/2006/relationships/drawing" Target="../drawings/drawing10.xml" /><Relationship Id="rId1" Type="http://schemas.openxmlformats.org/officeDocument/2006/relationships/printerSettings" Target="../printerSettings/printerSettings11.bin" /><Relationship Id="rId6" Type="http://schemas.openxmlformats.org/officeDocument/2006/relationships/comments" Target="../comments9.xml" /><Relationship Id="rId5" Type="http://schemas.openxmlformats.org/officeDocument/2006/relationships/ctrlProp" Target="../ctrlProps/ctrlProp20.xml" /><Relationship Id="rId4" Type="http://schemas.openxmlformats.org/officeDocument/2006/relationships/ctrlProp" Target="../ctrlProps/ctrlProp19.xml" /></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 /><Relationship Id="rId2" Type="http://schemas.openxmlformats.org/officeDocument/2006/relationships/drawing" Target="../drawings/drawing11.xml" /><Relationship Id="rId1" Type="http://schemas.openxmlformats.org/officeDocument/2006/relationships/printerSettings" Target="../printerSettings/printerSettings12.bin" /><Relationship Id="rId6" Type="http://schemas.openxmlformats.org/officeDocument/2006/relationships/comments" Target="../comments10.xml" /><Relationship Id="rId5" Type="http://schemas.openxmlformats.org/officeDocument/2006/relationships/ctrlProp" Target="../ctrlProps/ctrlProp22.xml" /><Relationship Id="rId4" Type="http://schemas.openxmlformats.org/officeDocument/2006/relationships/ctrlProp" Target="../ctrlProps/ctrlProp21.xml" /></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 /><Relationship Id="rId2" Type="http://schemas.openxmlformats.org/officeDocument/2006/relationships/vmlDrawing" Target="../drawings/vmlDrawing12.vml" /><Relationship Id="rId1" Type="http://schemas.openxmlformats.org/officeDocument/2006/relationships/printerSettings" Target="../printerSettings/printerSettings13.bin" /></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 /><Relationship Id="rId2" Type="http://schemas.openxmlformats.org/officeDocument/2006/relationships/hyperlink" Target="http://www.cleancookstoves.org/our-work/standards-and-testing/learn-about-testing-protocols/" TargetMode="External" /><Relationship Id="rId1" Type="http://schemas.openxmlformats.org/officeDocument/2006/relationships/hyperlink" Target="http://www.cleancookstoves.org/our-work/standards-and-testing/guidelines-and-standards/guidelines--standards-documents/interim-stove-performance.pdf" TargetMode="External" /><Relationship Id="rId4" Type="http://schemas.openxmlformats.org/officeDocument/2006/relationships/drawing" Target="../drawings/drawing12.xml" /></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 /><Relationship Id="rId2" Type="http://schemas.openxmlformats.org/officeDocument/2006/relationships/drawing" Target="../drawings/drawing13.xml" /><Relationship Id="rId1" Type="http://schemas.openxmlformats.org/officeDocument/2006/relationships/printerSettings" Target="../printerSettings/printerSettings15.bin" /><Relationship Id="rId5" Type="http://schemas.openxmlformats.org/officeDocument/2006/relationships/image" Target="../media/image2.wmf" /><Relationship Id="rId4" Type="http://schemas.openxmlformats.org/officeDocument/2006/relationships/oleObject" Target="../embeddings/oleObject1.bin" /></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 /></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 /><Relationship Id="rId2" Type="http://schemas.openxmlformats.org/officeDocument/2006/relationships/vmlDrawing" Target="../drawings/vmlDrawing14.vml" /><Relationship Id="rId1" Type="http://schemas.openxmlformats.org/officeDocument/2006/relationships/printerSettings" Target="../printerSettings/printerSettings17.bin" /></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BB120"/>
  <sheetViews>
    <sheetView showGridLines="0" showZeros="0" tabSelected="1" zoomScale="75" zoomScaleNormal="75" zoomScaleSheetLayoutView="100" workbookViewId="0">
      <selection activeCell="C4" sqref="C4:D4"/>
    </sheetView>
  </sheetViews>
  <sheetFormatPr defaultColWidth="9.16796875" defaultRowHeight="14.25" x14ac:dyDescent="0.15"/>
  <cols>
    <col min="1" max="1" width="4.04296875" style="554" customWidth="1"/>
    <col min="2" max="2" width="27.375" style="554" customWidth="1"/>
    <col min="3" max="3" width="20.765625" style="554" customWidth="1"/>
    <col min="4" max="4" width="36.00390625" style="554" customWidth="1"/>
    <col min="5" max="6" width="9.16796875" style="554"/>
    <col min="7" max="7" width="2.6953125" style="554" customWidth="1"/>
    <col min="8" max="8" width="2.828125" style="554" customWidth="1"/>
    <col min="9" max="9" width="25.08203125" style="554" customWidth="1"/>
    <col min="10" max="10" width="7.55078125" style="554" customWidth="1"/>
    <col min="11" max="11" width="8.62890625" style="554" customWidth="1"/>
    <col min="12" max="12" width="20.765625" style="554" customWidth="1"/>
    <col min="13" max="13" width="16.98828125" style="554" customWidth="1"/>
    <col min="14" max="14" width="5.52734375" style="554" customWidth="1"/>
    <col min="15" max="15" width="13.078125" style="554" customWidth="1"/>
    <col min="16" max="16384" width="9.16796875" style="554"/>
  </cols>
  <sheetData>
    <row r="1" spans="2:14" ht="38.25" customHeight="1" thickBot="1" x14ac:dyDescent="0.3">
      <c r="B1" s="553" t="s">
        <v>1120</v>
      </c>
      <c r="H1" s="555" t="str">
        <f>"Version " &amp;version</f>
        <v>Version 4.2.3</v>
      </c>
    </row>
    <row r="2" spans="2:14" ht="18.75" customHeight="1" x14ac:dyDescent="0.15">
      <c r="B2" s="200" t="s">
        <v>706</v>
      </c>
      <c r="C2" s="194"/>
      <c r="D2" s="194"/>
      <c r="E2" s="556"/>
      <c r="F2" s="189"/>
      <c r="G2" s="557"/>
      <c r="H2" s="558" t="s">
        <v>707</v>
      </c>
      <c r="I2" s="559"/>
      <c r="J2" s="559"/>
      <c r="K2" s="559"/>
      <c r="L2" s="559"/>
      <c r="M2" s="559"/>
      <c r="N2" s="560"/>
    </row>
    <row r="3" spans="2:14" ht="18.75" customHeight="1" x14ac:dyDescent="0.15">
      <c r="B3" s="192" t="s">
        <v>696</v>
      </c>
      <c r="C3" s="592"/>
      <c r="D3" s="592"/>
      <c r="E3" s="561"/>
      <c r="F3" s="189"/>
      <c r="G3" s="562"/>
      <c r="H3" s="189" t="s">
        <v>708</v>
      </c>
      <c r="I3" s="189"/>
      <c r="J3" s="594"/>
      <c r="K3" s="594"/>
      <c r="L3" s="594"/>
      <c r="M3" s="594"/>
      <c r="N3" s="563"/>
    </row>
    <row r="4" spans="2:14" ht="18.75" customHeight="1" x14ac:dyDescent="0.15">
      <c r="B4" s="199" t="s">
        <v>700</v>
      </c>
      <c r="C4" s="592"/>
      <c r="D4" s="592"/>
      <c r="E4" s="561"/>
      <c r="F4" s="189"/>
      <c r="G4" s="562"/>
      <c r="H4" s="189" t="s">
        <v>715</v>
      </c>
      <c r="I4" s="189"/>
      <c r="J4" s="189">
        <v>1</v>
      </c>
      <c r="K4" s="189"/>
      <c r="L4" s="189"/>
      <c r="M4" s="189"/>
      <c r="N4" s="563"/>
    </row>
    <row r="5" spans="2:14" ht="18.75" customHeight="1" x14ac:dyDescent="0.15">
      <c r="B5" s="199" t="s">
        <v>978</v>
      </c>
      <c r="C5" s="595"/>
      <c r="D5" s="592"/>
      <c r="E5" s="561"/>
      <c r="F5" s="189"/>
      <c r="G5" s="562"/>
      <c r="H5" s="189" t="s">
        <v>707</v>
      </c>
      <c r="I5" s="189"/>
      <c r="J5" s="189">
        <v>1</v>
      </c>
      <c r="K5" s="189"/>
      <c r="L5" s="189"/>
      <c r="M5" s="189"/>
      <c r="N5" s="563"/>
    </row>
    <row r="6" spans="2:14" ht="18.75" customHeight="1" x14ac:dyDescent="0.15">
      <c r="B6" s="199" t="s">
        <v>1039</v>
      </c>
      <c r="C6" s="592"/>
      <c r="D6" s="592"/>
      <c r="E6" s="561"/>
      <c r="F6" s="189"/>
      <c r="G6" s="562"/>
      <c r="H6" s="190" t="s">
        <v>718</v>
      </c>
      <c r="I6" s="190"/>
      <c r="J6" s="190"/>
      <c r="K6" s="190"/>
      <c r="L6" s="479"/>
      <c r="M6" s="189"/>
      <c r="N6" s="563"/>
    </row>
    <row r="7" spans="2:14" ht="18.75" customHeight="1" x14ac:dyDescent="0.15">
      <c r="B7" s="199" t="s">
        <v>699</v>
      </c>
      <c r="C7" s="592"/>
      <c r="D7" s="592"/>
      <c r="E7" s="561"/>
      <c r="F7" s="189"/>
      <c r="G7" s="562"/>
      <c r="H7" s="190" t="s">
        <v>719</v>
      </c>
      <c r="I7" s="190"/>
      <c r="J7" s="190"/>
      <c r="K7" s="190"/>
      <c r="L7" s="479"/>
      <c r="M7" s="189"/>
      <c r="N7" s="563"/>
    </row>
    <row r="8" spans="2:14" ht="18.75" customHeight="1" x14ac:dyDescent="0.15">
      <c r="B8" s="199" t="s">
        <v>1040</v>
      </c>
      <c r="C8" s="584"/>
      <c r="D8" s="534"/>
      <c r="E8" s="561"/>
      <c r="F8" s="189"/>
      <c r="G8" s="562"/>
      <c r="H8" s="564" t="s">
        <v>733</v>
      </c>
      <c r="I8" s="565"/>
      <c r="J8" s="189"/>
      <c r="K8" s="189"/>
      <c r="L8" s="189"/>
      <c r="M8" s="189"/>
      <c r="N8" s="563"/>
    </row>
    <row r="9" spans="2:14" ht="18.75" customHeight="1" x14ac:dyDescent="0.15">
      <c r="B9" s="192" t="s">
        <v>1123</v>
      </c>
      <c r="C9" s="585"/>
      <c r="D9" s="534"/>
      <c r="E9" s="561"/>
      <c r="F9" s="189"/>
      <c r="G9" s="562"/>
      <c r="H9" s="189" t="s">
        <v>728</v>
      </c>
      <c r="I9" s="189"/>
      <c r="J9" s="189"/>
      <c r="K9" s="189"/>
      <c r="L9" s="197">
        <f>VLOOKUP(J4,FuelCalorific,8,FALSE)</f>
        <v>0</v>
      </c>
      <c r="M9" s="566" t="s">
        <v>723</v>
      </c>
      <c r="N9" s="567"/>
    </row>
    <row r="10" spans="2:14" ht="18.75" customHeight="1" x14ac:dyDescent="0.15">
      <c r="B10" s="199" t="s">
        <v>698</v>
      </c>
      <c r="C10" s="592"/>
      <c r="D10" s="592"/>
      <c r="E10" s="561"/>
      <c r="F10" s="189"/>
      <c r="G10" s="562"/>
      <c r="H10" s="189" t="s">
        <v>729</v>
      </c>
      <c r="I10" s="189"/>
      <c r="J10" s="189"/>
      <c r="K10" s="189"/>
      <c r="L10" s="197">
        <f>VLOOKUP(J4,FuelCalorific,10,FALSE)</f>
        <v>0</v>
      </c>
      <c r="M10" s="566" t="s">
        <v>721</v>
      </c>
      <c r="N10" s="567"/>
    </row>
    <row r="11" spans="2:14" ht="18.75" customHeight="1" x14ac:dyDescent="0.15">
      <c r="B11" s="199" t="s">
        <v>697</v>
      </c>
      <c r="C11" s="593"/>
      <c r="D11" s="593"/>
      <c r="E11" s="561"/>
      <c r="F11" s="189"/>
      <c r="G11" s="562"/>
      <c r="H11" s="189" t="s">
        <v>736</v>
      </c>
      <c r="I11" s="189"/>
      <c r="J11" s="189"/>
      <c r="K11" s="189"/>
      <c r="L11" s="354">
        <f>VLOOKUP(J4,FuelCalorific,11,FALSE)</f>
        <v>0</v>
      </c>
      <c r="M11" s="566" t="s">
        <v>721</v>
      </c>
      <c r="N11" s="567"/>
    </row>
    <row r="12" spans="2:14" ht="18.75" customHeight="1" x14ac:dyDescent="0.15">
      <c r="B12" s="199" t="s">
        <v>701</v>
      </c>
      <c r="C12" s="598"/>
      <c r="D12" s="598"/>
      <c r="E12" s="561"/>
      <c r="F12" s="189"/>
      <c r="G12" s="562"/>
      <c r="H12" s="189" t="s">
        <v>932</v>
      </c>
      <c r="I12" s="189"/>
      <c r="J12" s="189"/>
      <c r="K12" s="189"/>
      <c r="L12" s="568">
        <f>'Calorific values'!M8</f>
        <v>0.95</v>
      </c>
      <c r="M12" s="566" t="s">
        <v>817</v>
      </c>
      <c r="N12" s="563"/>
    </row>
    <row r="13" spans="2:14" ht="18.75" customHeight="1" x14ac:dyDescent="0.15">
      <c r="B13" s="199"/>
      <c r="C13" s="599"/>
      <c r="D13" s="599"/>
      <c r="E13" s="561"/>
      <c r="F13" s="189"/>
      <c r="G13" s="562"/>
      <c r="N13" s="563"/>
    </row>
    <row r="14" spans="2:14" ht="18.75" customHeight="1" thickBot="1" x14ac:dyDescent="0.2">
      <c r="B14" s="199"/>
      <c r="C14" s="600"/>
      <c r="D14" s="600"/>
      <c r="E14" s="561"/>
      <c r="F14" s="189"/>
      <c r="G14" s="562"/>
      <c r="H14" s="564" t="s">
        <v>731</v>
      </c>
      <c r="I14" s="565"/>
      <c r="J14" s="189"/>
      <c r="K14" s="189"/>
      <c r="L14" s="189"/>
      <c r="M14" s="189"/>
      <c r="N14" s="567"/>
    </row>
    <row r="15" spans="2:14" ht="18.75" customHeight="1" thickBot="1" x14ac:dyDescent="0.2">
      <c r="B15" s="199"/>
      <c r="C15" s="508"/>
      <c r="D15" s="508"/>
      <c r="E15" s="561"/>
      <c r="F15" s="189"/>
      <c r="G15" s="562"/>
      <c r="H15" s="569"/>
      <c r="I15" s="189" t="s">
        <v>717</v>
      </c>
      <c r="J15" s="189"/>
      <c r="K15" s="189"/>
      <c r="L15" s="189"/>
      <c r="M15" s="566"/>
      <c r="N15" s="567"/>
    </row>
    <row r="16" spans="2:14" ht="18.75" customHeight="1" x14ac:dyDescent="0.15">
      <c r="B16" s="199" t="s">
        <v>1012</v>
      </c>
      <c r="C16" s="592"/>
      <c r="D16" s="592"/>
      <c r="E16" s="561"/>
      <c r="F16" s="189"/>
      <c r="G16" s="562"/>
      <c r="H16" s="189"/>
      <c r="I16" s="189"/>
      <c r="J16" s="189"/>
      <c r="K16" s="189"/>
      <c r="L16" s="189"/>
      <c r="M16" s="566"/>
      <c r="N16" s="567"/>
    </row>
    <row r="17" spans="1:54" ht="18.75" customHeight="1" x14ac:dyDescent="0.15">
      <c r="B17" s="199"/>
      <c r="C17" s="189"/>
      <c r="D17" s="189"/>
      <c r="E17" s="561"/>
      <c r="F17" s="189"/>
      <c r="G17" s="562"/>
      <c r="H17" s="189" t="s">
        <v>725</v>
      </c>
      <c r="I17" s="189"/>
      <c r="J17" s="189"/>
      <c r="K17" s="189"/>
      <c r="L17" s="196"/>
      <c r="M17" s="566" t="s">
        <v>730</v>
      </c>
      <c r="N17" s="567"/>
    </row>
    <row r="18" spans="1:54" ht="18.75" customHeight="1" x14ac:dyDescent="0.15">
      <c r="B18" s="570" t="s">
        <v>705</v>
      </c>
      <c r="C18" s="415"/>
      <c r="D18" s="189"/>
      <c r="E18" s="561"/>
      <c r="F18" s="189"/>
      <c r="G18" s="562"/>
      <c r="H18" s="189" t="s">
        <v>734</v>
      </c>
      <c r="I18" s="189"/>
      <c r="J18" s="189"/>
      <c r="K18" s="189"/>
      <c r="L18" s="196"/>
      <c r="M18" s="566" t="s">
        <v>727</v>
      </c>
      <c r="N18" s="567"/>
    </row>
    <row r="19" spans="1:54" ht="18.75" customHeight="1" x14ac:dyDescent="0.15">
      <c r="B19" s="199" t="s">
        <v>704</v>
      </c>
      <c r="C19" s="583"/>
      <c r="D19" s="189"/>
      <c r="E19" s="561"/>
      <c r="F19" s="189"/>
      <c r="G19" s="562"/>
      <c r="H19" s="189" t="s">
        <v>726</v>
      </c>
      <c r="I19" s="189"/>
      <c r="J19" s="189"/>
      <c r="K19" s="189"/>
      <c r="L19" s="189">
        <f>IF(ISBLANK(L18),MAX(L17-1320,0),L18)</f>
        <v>0</v>
      </c>
      <c r="M19" s="566" t="s">
        <v>727</v>
      </c>
      <c r="N19" s="567"/>
    </row>
    <row r="20" spans="1:54" ht="18.75" customHeight="1" x14ac:dyDescent="0.15">
      <c r="B20" s="199" t="s">
        <v>703</v>
      </c>
      <c r="C20" s="583"/>
      <c r="D20" s="189"/>
      <c r="E20" s="563"/>
      <c r="F20" s="189"/>
      <c r="G20" s="562"/>
      <c r="H20" s="564" t="s">
        <v>732</v>
      </c>
      <c r="I20" s="565"/>
      <c r="J20" s="189"/>
      <c r="K20" s="189"/>
      <c r="L20" s="189"/>
      <c r="M20" s="189"/>
      <c r="N20" s="563"/>
    </row>
    <row r="21" spans="1:54" ht="18.75" customHeight="1" x14ac:dyDescent="0.15">
      <c r="B21" s="596" t="s">
        <v>777</v>
      </c>
      <c r="C21" s="597"/>
      <c r="D21" s="597"/>
      <c r="E21" s="561"/>
      <c r="F21" s="189"/>
      <c r="G21" s="562"/>
      <c r="H21" s="189" t="s">
        <v>728</v>
      </c>
      <c r="I21" s="189"/>
      <c r="J21" s="189"/>
      <c r="K21" s="189"/>
      <c r="L21" s="355">
        <f>IF(ISBLANK(H15),L9,L17)</f>
        <v>0</v>
      </c>
      <c r="M21" s="566" t="s">
        <v>723</v>
      </c>
      <c r="N21" s="567"/>
    </row>
    <row r="22" spans="1:54" ht="18.75" customHeight="1" x14ac:dyDescent="0.15">
      <c r="B22" s="199" t="s">
        <v>829</v>
      </c>
      <c r="C22" s="264"/>
      <c r="D22" s="246"/>
      <c r="E22" s="561"/>
      <c r="F22" s="189"/>
      <c r="G22" s="562"/>
      <c r="H22" s="189" t="s">
        <v>729</v>
      </c>
      <c r="I22" s="189"/>
      <c r="J22" s="189"/>
      <c r="K22" s="189"/>
      <c r="L22" s="197">
        <f>IF(ISBLANK(H15),L10,L19)</f>
        <v>0</v>
      </c>
      <c r="M22" s="566" t="s">
        <v>727</v>
      </c>
      <c r="N22" s="567"/>
    </row>
    <row r="23" spans="1:54" ht="18.75" customHeight="1" x14ac:dyDescent="0.15">
      <c r="B23" s="199" t="s">
        <v>778</v>
      </c>
      <c r="C23" s="264"/>
      <c r="D23" s="189"/>
      <c r="E23" s="561"/>
      <c r="F23" s="189"/>
      <c r="G23" s="562"/>
      <c r="H23" s="189" t="s">
        <v>816</v>
      </c>
      <c r="I23" s="189"/>
      <c r="J23" s="189"/>
      <c r="K23" s="189"/>
      <c r="L23" s="257">
        <f>VLOOKUP(J4,FuelCalorific,12,FALSE)</f>
        <v>0</v>
      </c>
      <c r="M23" s="566" t="s">
        <v>817</v>
      </c>
      <c r="N23" s="563"/>
      <c r="O23" s="554">
        <f>fuelFracC</f>
        <v>0</v>
      </c>
    </row>
    <row r="24" spans="1:54" ht="18.75" customHeight="1" x14ac:dyDescent="0.15">
      <c r="B24" s="199" t="s">
        <v>779</v>
      </c>
      <c r="C24" s="264"/>
      <c r="D24" s="246"/>
      <c r="E24" s="247"/>
      <c r="F24" s="189"/>
      <c r="G24" s="562"/>
      <c r="H24" s="571" t="s">
        <v>739</v>
      </c>
      <c r="I24" s="189"/>
      <c r="J24" s="189"/>
      <c r="K24" s="189"/>
      <c r="L24" s="189"/>
      <c r="M24" s="189"/>
      <c r="N24" s="563"/>
    </row>
    <row r="25" spans="1:54" ht="18.75" customHeight="1" x14ac:dyDescent="0.15">
      <c r="B25" s="199"/>
      <c r="C25" s="416"/>
      <c r="D25" s="246"/>
      <c r="E25" s="247"/>
      <c r="F25" s="189"/>
      <c r="G25" s="562"/>
      <c r="H25" s="189" t="s">
        <v>746</v>
      </c>
      <c r="I25" s="189"/>
      <c r="J25" s="189"/>
      <c r="K25" s="189"/>
      <c r="L25" s="189"/>
      <c r="M25" s="189"/>
      <c r="N25" s="563"/>
    </row>
    <row r="26" spans="1:54" ht="18.75" customHeight="1" x14ac:dyDescent="0.15">
      <c r="B26" s="245" t="s">
        <v>776</v>
      </c>
      <c r="C26" s="246"/>
      <c r="D26" s="246"/>
      <c r="E26" s="247"/>
      <c r="F26" s="189"/>
      <c r="G26" s="562"/>
      <c r="H26" s="594"/>
      <c r="I26" s="594"/>
      <c r="J26" s="594"/>
      <c r="K26" s="594"/>
      <c r="L26" s="594"/>
      <c r="M26" s="594"/>
      <c r="N26" s="563"/>
    </row>
    <row r="27" spans="1:54" s="572" customFormat="1" ht="18.75" customHeight="1" x14ac:dyDescent="0.2">
      <c r="A27" s="554"/>
      <c r="B27" s="602"/>
      <c r="C27" s="592"/>
      <c r="D27" s="592"/>
      <c r="E27" s="561"/>
      <c r="F27" s="189"/>
      <c r="G27" s="562"/>
      <c r="H27" s="601"/>
      <c r="I27" s="601"/>
      <c r="J27" s="601"/>
      <c r="K27" s="601"/>
      <c r="L27" s="601"/>
      <c r="M27" s="601"/>
      <c r="N27" s="563"/>
      <c r="O27" s="554"/>
    </row>
    <row r="28" spans="1:54" ht="18.75" customHeight="1" x14ac:dyDescent="0.2">
      <c r="B28" s="603"/>
      <c r="C28" s="593"/>
      <c r="D28" s="593"/>
      <c r="E28" s="561"/>
      <c r="F28" s="189"/>
      <c r="G28" s="204"/>
      <c r="H28" s="601"/>
      <c r="I28" s="601"/>
      <c r="J28" s="601"/>
      <c r="K28" s="601"/>
      <c r="L28" s="601"/>
      <c r="M28" s="601"/>
      <c r="N28" s="563"/>
      <c r="O28" s="203"/>
      <c r="P28" s="572"/>
      <c r="Q28" s="572"/>
      <c r="R28" s="572"/>
      <c r="S28" s="572"/>
      <c r="T28" s="572"/>
      <c r="U28" s="572"/>
      <c r="V28" s="572"/>
      <c r="W28" s="572"/>
      <c r="X28" s="572"/>
      <c r="Y28" s="572"/>
      <c r="Z28" s="572"/>
      <c r="AA28" s="572"/>
      <c r="AB28" s="572"/>
      <c r="AC28" s="572"/>
      <c r="AD28" s="572"/>
      <c r="AE28" s="572"/>
      <c r="AF28" s="572"/>
      <c r="AG28" s="572"/>
      <c r="AH28" s="572"/>
      <c r="AI28" s="572"/>
      <c r="AJ28" s="572"/>
      <c r="AK28" s="572"/>
      <c r="AL28" s="572"/>
      <c r="AM28" s="572"/>
      <c r="AN28" s="572"/>
      <c r="AO28" s="572"/>
      <c r="AP28" s="572"/>
      <c r="AQ28" s="572"/>
      <c r="AR28" s="572"/>
      <c r="AS28" s="572"/>
      <c r="AT28" s="572"/>
      <c r="AU28" s="572"/>
      <c r="AV28" s="572"/>
      <c r="AW28" s="572"/>
      <c r="AX28" s="572"/>
      <c r="AY28" s="572"/>
      <c r="AZ28" s="572"/>
      <c r="BA28" s="572"/>
      <c r="BB28" s="572"/>
    </row>
    <row r="29" spans="1:54" ht="18.75" customHeight="1" x14ac:dyDescent="0.2">
      <c r="B29" s="603"/>
      <c r="C29" s="593"/>
      <c r="D29" s="593"/>
      <c r="E29" s="561"/>
      <c r="F29" s="189"/>
      <c r="G29" s="204"/>
      <c r="H29" s="601"/>
      <c r="I29" s="601"/>
      <c r="J29" s="601"/>
      <c r="K29" s="601"/>
      <c r="L29" s="601"/>
      <c r="M29" s="601"/>
      <c r="N29" s="563"/>
      <c r="O29" s="203"/>
      <c r="P29" s="572"/>
      <c r="Q29" s="572"/>
      <c r="R29" s="572"/>
      <c r="S29" s="572"/>
      <c r="T29" s="572"/>
      <c r="U29" s="572"/>
      <c r="V29" s="572"/>
      <c r="W29" s="572"/>
      <c r="X29" s="572"/>
      <c r="Y29" s="572"/>
      <c r="Z29" s="572"/>
      <c r="AA29" s="572"/>
      <c r="AB29" s="572"/>
      <c r="AC29" s="572"/>
      <c r="AD29" s="572"/>
      <c r="AE29" s="572"/>
      <c r="AF29" s="572"/>
      <c r="AG29" s="572"/>
      <c r="AH29" s="572"/>
      <c r="AI29" s="572"/>
      <c r="AJ29" s="572"/>
      <c r="AK29" s="572"/>
      <c r="AL29" s="572"/>
      <c r="AM29" s="572"/>
      <c r="AN29" s="572"/>
      <c r="AO29" s="572"/>
      <c r="AP29" s="572"/>
      <c r="AQ29" s="572"/>
      <c r="AR29" s="572"/>
      <c r="AS29" s="572"/>
      <c r="AT29" s="572"/>
      <c r="AU29" s="572"/>
      <c r="AV29" s="572"/>
      <c r="AW29" s="572"/>
      <c r="AX29" s="572"/>
      <c r="AY29" s="572"/>
      <c r="AZ29" s="572"/>
      <c r="BA29" s="572"/>
      <c r="BB29" s="572"/>
    </row>
    <row r="30" spans="1:54" ht="15" customHeight="1" thickBot="1" x14ac:dyDescent="0.25">
      <c r="B30" s="573"/>
      <c r="C30" s="574"/>
      <c r="D30" s="574"/>
      <c r="E30" s="575"/>
      <c r="F30" s="189"/>
      <c r="G30" s="205"/>
      <c r="H30" s="206"/>
      <c r="I30" s="206"/>
      <c r="J30" s="576"/>
      <c r="K30" s="576"/>
      <c r="L30" s="206"/>
      <c r="M30" s="206"/>
      <c r="N30" s="207"/>
      <c r="O30" s="203"/>
      <c r="P30" s="572"/>
      <c r="Q30" s="572"/>
      <c r="R30" s="572"/>
      <c r="S30" s="572"/>
      <c r="T30" s="572"/>
      <c r="U30" s="572"/>
      <c r="V30" s="572"/>
      <c r="W30" s="572"/>
      <c r="X30" s="572"/>
      <c r="Y30" s="572"/>
      <c r="Z30" s="572"/>
      <c r="AA30" s="572"/>
      <c r="AB30" s="572"/>
      <c r="AC30" s="572"/>
      <c r="AD30" s="572"/>
      <c r="AE30" s="572"/>
      <c r="AF30" s="572"/>
      <c r="AG30" s="572"/>
      <c r="AH30" s="572"/>
      <c r="AI30" s="572"/>
      <c r="AJ30" s="572"/>
      <c r="AK30" s="572"/>
      <c r="AL30" s="572"/>
      <c r="AM30" s="572"/>
      <c r="AN30" s="572"/>
      <c r="AO30" s="572"/>
      <c r="AP30" s="572"/>
      <c r="AQ30" s="572"/>
      <c r="AR30" s="572"/>
      <c r="AS30" s="572"/>
      <c r="AT30" s="572"/>
      <c r="AU30" s="572"/>
      <c r="AV30" s="572"/>
      <c r="AW30" s="572"/>
      <c r="AX30" s="572"/>
      <c r="AY30" s="572"/>
      <c r="AZ30" s="572"/>
      <c r="BA30" s="572"/>
      <c r="BB30" s="572"/>
    </row>
    <row r="31" spans="1:54" ht="12.75" customHeight="1" thickBot="1" x14ac:dyDescent="0.25">
      <c r="F31" s="572"/>
      <c r="G31" s="203"/>
      <c r="H31" s="203"/>
      <c r="I31" s="203"/>
      <c r="J31" s="572"/>
      <c r="K31" s="572"/>
      <c r="L31" s="203"/>
      <c r="M31" s="203"/>
      <c r="N31" s="203"/>
      <c r="O31" s="203"/>
      <c r="P31" s="572"/>
      <c r="Q31" s="572"/>
      <c r="R31" s="572"/>
      <c r="S31" s="572"/>
      <c r="T31" s="572"/>
      <c r="U31" s="572"/>
      <c r="V31" s="572"/>
      <c r="W31" s="572"/>
      <c r="X31" s="572"/>
      <c r="Y31" s="572"/>
      <c r="Z31" s="572"/>
      <c r="AA31" s="572"/>
      <c r="AB31" s="572"/>
      <c r="AC31" s="572"/>
      <c r="AD31" s="572"/>
      <c r="AE31" s="572"/>
      <c r="AF31" s="572"/>
      <c r="AG31" s="572"/>
      <c r="AH31" s="572"/>
      <c r="AI31" s="572"/>
      <c r="AJ31" s="572"/>
      <c r="AK31" s="572"/>
      <c r="AL31" s="572"/>
      <c r="AM31" s="572"/>
      <c r="AN31" s="572"/>
      <c r="AO31" s="572"/>
      <c r="AP31" s="572"/>
      <c r="AQ31" s="572"/>
      <c r="AR31" s="572"/>
      <c r="AS31" s="572"/>
      <c r="AT31" s="572"/>
      <c r="AU31" s="572"/>
      <c r="AV31" s="572"/>
      <c r="AW31" s="572"/>
      <c r="AX31" s="572"/>
      <c r="AY31" s="572"/>
      <c r="AZ31" s="572"/>
      <c r="BA31" s="572"/>
      <c r="BB31" s="572"/>
    </row>
    <row r="32" spans="1:54" ht="16.5" customHeight="1" x14ac:dyDescent="0.2">
      <c r="B32" s="606" t="s">
        <v>742</v>
      </c>
      <c r="C32" s="607"/>
      <c r="D32" s="607"/>
      <c r="E32" s="577"/>
      <c r="F32" s="572"/>
      <c r="G32" s="606" t="s">
        <v>744</v>
      </c>
      <c r="H32" s="607"/>
      <c r="I32" s="607"/>
      <c r="J32" s="607"/>
      <c r="K32" s="607"/>
      <c r="L32" s="607"/>
      <c r="M32" s="607"/>
      <c r="N32" s="608"/>
      <c r="O32" s="203"/>
      <c r="P32" s="572"/>
      <c r="Q32" s="572"/>
      <c r="R32" s="572"/>
      <c r="S32" s="572"/>
      <c r="T32" s="572"/>
      <c r="U32" s="572"/>
      <c r="V32" s="572"/>
      <c r="W32" s="572"/>
      <c r="X32" s="572"/>
      <c r="Y32" s="572"/>
      <c r="Z32" s="572"/>
      <c r="AA32" s="572"/>
      <c r="AB32" s="572"/>
      <c r="AC32" s="572"/>
      <c r="AD32" s="572"/>
      <c r="AE32" s="572"/>
      <c r="AF32" s="572"/>
      <c r="AG32" s="572"/>
      <c r="AH32" s="572"/>
      <c r="AI32" s="572"/>
      <c r="AJ32" s="572"/>
      <c r="AK32" s="572"/>
      <c r="AL32" s="572"/>
      <c r="AM32" s="572"/>
      <c r="AN32" s="572"/>
      <c r="AO32" s="572"/>
      <c r="AP32" s="572"/>
      <c r="AQ32" s="572"/>
      <c r="AR32" s="572"/>
      <c r="AS32" s="572"/>
      <c r="AT32" s="572"/>
      <c r="AU32" s="572"/>
      <c r="AV32" s="572"/>
      <c r="AW32" s="572"/>
      <c r="AX32" s="572"/>
      <c r="AY32" s="572"/>
      <c r="AZ32" s="572"/>
      <c r="BA32" s="572"/>
      <c r="BB32" s="572"/>
    </row>
    <row r="33" spans="2:54" ht="16.5" customHeight="1" x14ac:dyDescent="0.2">
      <c r="B33" s="609" t="s">
        <v>738</v>
      </c>
      <c r="C33" s="594"/>
      <c r="D33" s="594"/>
      <c r="E33" s="578"/>
      <c r="F33" s="572"/>
      <c r="G33" s="609" t="s">
        <v>738</v>
      </c>
      <c r="H33" s="610"/>
      <c r="I33" s="610"/>
      <c r="J33" s="594"/>
      <c r="K33" s="594"/>
      <c r="L33" s="594"/>
      <c r="M33" s="594"/>
      <c r="N33" s="212"/>
      <c r="O33" s="191"/>
      <c r="P33" s="572"/>
      <c r="Q33" s="572"/>
      <c r="R33" s="572"/>
      <c r="S33" s="572"/>
      <c r="T33" s="572"/>
      <c r="U33" s="572"/>
      <c r="V33" s="572"/>
      <c r="W33" s="572"/>
      <c r="X33" s="572"/>
      <c r="Y33" s="572"/>
      <c r="Z33" s="572"/>
      <c r="AA33" s="572"/>
      <c r="AB33" s="572"/>
      <c r="AC33" s="572"/>
      <c r="AD33" s="572"/>
      <c r="AE33" s="572"/>
      <c r="AF33" s="572"/>
      <c r="AG33" s="572"/>
      <c r="AH33" s="572"/>
      <c r="AI33" s="572"/>
      <c r="AJ33" s="572"/>
      <c r="AK33" s="572"/>
      <c r="AL33" s="572"/>
      <c r="AM33" s="572"/>
      <c r="AN33" s="572"/>
      <c r="AO33" s="572"/>
      <c r="AP33" s="572"/>
      <c r="AQ33" s="572"/>
      <c r="AR33" s="572"/>
      <c r="AS33" s="572"/>
      <c r="AT33" s="572"/>
      <c r="AU33" s="572"/>
      <c r="AV33" s="572"/>
      <c r="AW33" s="572"/>
      <c r="AX33" s="572"/>
      <c r="AY33" s="572"/>
      <c r="AZ33" s="572"/>
      <c r="BA33" s="572"/>
      <c r="BB33" s="572"/>
    </row>
    <row r="34" spans="2:54" ht="16.5" customHeight="1" x14ac:dyDescent="0.2">
      <c r="B34" s="609"/>
      <c r="C34" s="601"/>
      <c r="D34" s="601"/>
      <c r="E34" s="578"/>
      <c r="F34" s="572"/>
      <c r="G34" s="609"/>
      <c r="H34" s="610"/>
      <c r="I34" s="610"/>
      <c r="J34" s="594"/>
      <c r="K34" s="594"/>
      <c r="L34" s="594"/>
      <c r="M34" s="594"/>
      <c r="N34" s="213"/>
      <c r="O34" s="203"/>
      <c r="P34" s="572"/>
      <c r="Q34" s="572"/>
      <c r="R34" s="572"/>
      <c r="S34" s="572"/>
      <c r="T34" s="572"/>
      <c r="U34" s="572"/>
      <c r="V34" s="572"/>
      <c r="W34" s="572"/>
      <c r="X34" s="572"/>
      <c r="Y34" s="572"/>
      <c r="Z34" s="572"/>
      <c r="AA34" s="572"/>
      <c r="AB34" s="572"/>
      <c r="AC34" s="572"/>
      <c r="AD34" s="572"/>
      <c r="AE34" s="572"/>
      <c r="AF34" s="572"/>
      <c r="AG34" s="572"/>
      <c r="AH34" s="572"/>
      <c r="AI34" s="572"/>
      <c r="AJ34" s="572"/>
      <c r="AK34" s="572"/>
      <c r="AL34" s="572"/>
      <c r="AM34" s="572"/>
      <c r="AN34" s="572"/>
      <c r="AO34" s="572"/>
      <c r="AP34" s="572"/>
      <c r="AQ34" s="572"/>
      <c r="AR34" s="572"/>
      <c r="AS34" s="572"/>
      <c r="AT34" s="572"/>
      <c r="AU34" s="572"/>
      <c r="AV34" s="572"/>
      <c r="AW34" s="572"/>
      <c r="AX34" s="572"/>
      <c r="AY34" s="572"/>
      <c r="AZ34" s="572"/>
      <c r="BA34" s="572"/>
      <c r="BB34" s="572"/>
    </row>
    <row r="35" spans="2:54" ht="16.5" customHeight="1" x14ac:dyDescent="0.2">
      <c r="B35" s="579"/>
      <c r="C35" s="601"/>
      <c r="D35" s="601"/>
      <c r="E35" s="578"/>
      <c r="F35" s="572"/>
      <c r="G35" s="211"/>
      <c r="H35" s="190"/>
      <c r="I35" s="190"/>
      <c r="J35" s="594"/>
      <c r="K35" s="594"/>
      <c r="L35" s="594"/>
      <c r="M35" s="594"/>
      <c r="N35" s="213"/>
      <c r="O35" s="203"/>
      <c r="P35" s="572"/>
      <c r="Q35" s="572"/>
      <c r="R35" s="572"/>
      <c r="S35" s="572"/>
      <c r="T35" s="572"/>
      <c r="U35" s="572"/>
      <c r="V35" s="572"/>
      <c r="W35" s="572"/>
      <c r="X35" s="572"/>
      <c r="Y35" s="572"/>
      <c r="Z35" s="572"/>
      <c r="AA35" s="572"/>
      <c r="AB35" s="572"/>
      <c r="AC35" s="572"/>
      <c r="AD35" s="572"/>
      <c r="AE35" s="572"/>
      <c r="AF35" s="572"/>
      <c r="AG35" s="572"/>
      <c r="AH35" s="572"/>
      <c r="AI35" s="572"/>
      <c r="AJ35" s="572"/>
      <c r="AK35" s="572"/>
      <c r="AL35" s="572"/>
      <c r="AM35" s="572"/>
      <c r="AN35" s="572"/>
      <c r="AO35" s="572"/>
      <c r="AP35" s="572"/>
      <c r="AQ35" s="572"/>
      <c r="AR35" s="572"/>
      <c r="AS35" s="572"/>
      <c r="AT35" s="572"/>
      <c r="AU35" s="572"/>
      <c r="AV35" s="572"/>
      <c r="AW35" s="572"/>
      <c r="AX35" s="572"/>
      <c r="AY35" s="572"/>
      <c r="AZ35" s="572"/>
      <c r="BA35" s="572"/>
      <c r="BB35" s="572"/>
    </row>
    <row r="36" spans="2:54" ht="16.5" customHeight="1" x14ac:dyDescent="0.2">
      <c r="B36" s="579"/>
      <c r="C36" s="601"/>
      <c r="D36" s="601"/>
      <c r="E36" s="578"/>
      <c r="F36" s="572"/>
      <c r="G36" s="579"/>
      <c r="H36" s="189"/>
      <c r="I36" s="189"/>
      <c r="J36" s="594"/>
      <c r="K36" s="594"/>
      <c r="L36" s="594"/>
      <c r="M36" s="594"/>
      <c r="N36" s="213"/>
      <c r="O36" s="203"/>
      <c r="P36" s="572"/>
      <c r="Q36" s="572"/>
      <c r="R36" s="572"/>
      <c r="S36" s="572"/>
      <c r="T36" s="572"/>
      <c r="U36" s="572"/>
      <c r="V36" s="572"/>
      <c r="W36" s="572"/>
      <c r="X36" s="572"/>
      <c r="Y36" s="572"/>
      <c r="Z36" s="572"/>
      <c r="AA36" s="572"/>
      <c r="AB36" s="572"/>
      <c r="AC36" s="572"/>
      <c r="AD36" s="572"/>
      <c r="AE36" s="572"/>
      <c r="AF36" s="572"/>
      <c r="AG36" s="572"/>
      <c r="AH36" s="572"/>
      <c r="AI36" s="572"/>
      <c r="AJ36" s="572"/>
      <c r="AK36" s="572"/>
      <c r="AL36" s="572"/>
      <c r="AM36" s="572"/>
      <c r="AN36" s="572"/>
      <c r="AO36" s="572"/>
      <c r="AP36" s="572"/>
      <c r="AQ36" s="572"/>
      <c r="AR36" s="572"/>
      <c r="AS36" s="572"/>
      <c r="AT36" s="572"/>
      <c r="AU36" s="572"/>
      <c r="AV36" s="572"/>
      <c r="AW36" s="572"/>
      <c r="AX36" s="572"/>
      <c r="AY36" s="572"/>
      <c r="AZ36" s="572"/>
      <c r="BA36" s="572"/>
      <c r="BB36" s="572"/>
    </row>
    <row r="37" spans="2:54" ht="16.5" customHeight="1" x14ac:dyDescent="0.2">
      <c r="B37" s="579"/>
      <c r="C37" s="533"/>
      <c r="D37" s="533"/>
      <c r="E37" s="578"/>
      <c r="F37" s="572"/>
      <c r="G37" s="579"/>
      <c r="H37" s="189"/>
      <c r="I37" s="189"/>
      <c r="J37" s="533"/>
      <c r="K37" s="533"/>
      <c r="L37" s="586"/>
      <c r="M37" s="586"/>
      <c r="N37" s="212"/>
      <c r="O37" s="191"/>
      <c r="P37" s="572"/>
      <c r="Q37" s="572"/>
      <c r="R37" s="572"/>
      <c r="S37" s="572"/>
      <c r="T37" s="572"/>
      <c r="U37" s="572"/>
      <c r="V37" s="572"/>
      <c r="W37" s="572"/>
      <c r="X37" s="572"/>
      <c r="Y37" s="572"/>
      <c r="Z37" s="572"/>
      <c r="AA37" s="572"/>
      <c r="AB37" s="572"/>
      <c r="AC37" s="572"/>
      <c r="AD37" s="572"/>
      <c r="AE37" s="572"/>
      <c r="AF37" s="572"/>
      <c r="AG37" s="572"/>
      <c r="AH37" s="572"/>
      <c r="AI37" s="572"/>
      <c r="AJ37" s="572"/>
      <c r="AK37" s="572"/>
      <c r="AL37" s="572"/>
      <c r="AM37" s="572"/>
      <c r="AN37" s="572"/>
      <c r="AO37" s="572"/>
      <c r="AP37" s="572"/>
      <c r="AQ37" s="572"/>
      <c r="AR37" s="572"/>
      <c r="AS37" s="572"/>
      <c r="AT37" s="572"/>
      <c r="AU37" s="572"/>
      <c r="AV37" s="572"/>
      <c r="AW37" s="572"/>
      <c r="AX37" s="572"/>
      <c r="AY37" s="572"/>
      <c r="AZ37" s="572"/>
      <c r="BA37" s="572"/>
      <c r="BB37" s="572"/>
    </row>
    <row r="38" spans="2:54" ht="16.5" customHeight="1" x14ac:dyDescent="0.2">
      <c r="B38" s="604" t="s">
        <v>740</v>
      </c>
      <c r="C38" s="594"/>
      <c r="D38" s="594"/>
      <c r="E38" s="578"/>
      <c r="F38" s="572"/>
      <c r="G38" s="604" t="s">
        <v>740</v>
      </c>
      <c r="H38" s="605"/>
      <c r="I38" s="605"/>
      <c r="J38" s="594"/>
      <c r="K38" s="594"/>
      <c r="L38" s="594"/>
      <c r="M38" s="594"/>
      <c r="N38" s="213"/>
      <c r="O38" s="203"/>
      <c r="P38" s="572"/>
      <c r="Q38" s="572"/>
      <c r="R38" s="572"/>
      <c r="S38" s="572"/>
      <c r="T38" s="572"/>
      <c r="U38" s="572"/>
      <c r="V38" s="572"/>
      <c r="W38" s="572"/>
      <c r="X38" s="572"/>
      <c r="Y38" s="572"/>
      <c r="Z38" s="572"/>
      <c r="AA38" s="572"/>
      <c r="AB38" s="572"/>
      <c r="AC38" s="572"/>
      <c r="AD38" s="572"/>
      <c r="AE38" s="572"/>
      <c r="AF38" s="572"/>
      <c r="AG38" s="572"/>
      <c r="AH38" s="572"/>
      <c r="AI38" s="572"/>
      <c r="AJ38" s="572"/>
      <c r="AK38" s="572"/>
      <c r="AL38" s="572"/>
      <c r="AM38" s="572"/>
      <c r="AN38" s="572"/>
      <c r="AO38" s="572"/>
      <c r="AP38" s="572"/>
      <c r="AQ38" s="572"/>
      <c r="AR38" s="572"/>
      <c r="AS38" s="572"/>
      <c r="AT38" s="572"/>
      <c r="AU38" s="572"/>
      <c r="AV38" s="572"/>
      <c r="AW38" s="572"/>
      <c r="AX38" s="572"/>
      <c r="AY38" s="572"/>
      <c r="AZ38" s="572"/>
      <c r="BA38" s="572"/>
      <c r="BB38" s="572"/>
    </row>
    <row r="39" spans="2:54" ht="16.5" customHeight="1" x14ac:dyDescent="0.2">
      <c r="B39" s="604"/>
      <c r="C39" s="601"/>
      <c r="D39" s="601"/>
      <c r="E39" s="578"/>
      <c r="F39" s="572"/>
      <c r="G39" s="604"/>
      <c r="H39" s="605"/>
      <c r="I39" s="605"/>
      <c r="J39" s="594"/>
      <c r="K39" s="594"/>
      <c r="L39" s="594"/>
      <c r="M39" s="594"/>
      <c r="N39" s="213"/>
      <c r="O39" s="203"/>
      <c r="P39" s="572"/>
      <c r="Q39" s="572"/>
      <c r="R39" s="572"/>
      <c r="S39" s="572"/>
      <c r="T39" s="572"/>
      <c r="U39" s="572"/>
      <c r="V39" s="572"/>
      <c r="W39" s="572"/>
      <c r="X39" s="572"/>
      <c r="Y39" s="572"/>
      <c r="Z39" s="572"/>
      <c r="AA39" s="572"/>
      <c r="AB39" s="572"/>
      <c r="AC39" s="572"/>
      <c r="AD39" s="572"/>
      <c r="AE39" s="572"/>
      <c r="AF39" s="572"/>
      <c r="AG39" s="572"/>
      <c r="AH39" s="572"/>
      <c r="AI39" s="572"/>
      <c r="AJ39" s="572"/>
      <c r="AK39" s="572"/>
      <c r="AL39" s="572"/>
      <c r="AM39" s="572"/>
      <c r="AN39" s="572"/>
      <c r="AO39" s="572"/>
      <c r="AP39" s="572"/>
      <c r="AQ39" s="572"/>
      <c r="AR39" s="572"/>
      <c r="AS39" s="572"/>
      <c r="AT39" s="572"/>
      <c r="AU39" s="572"/>
      <c r="AV39" s="572"/>
      <c r="AW39" s="572"/>
      <c r="AX39" s="572"/>
      <c r="AY39" s="572"/>
      <c r="AZ39" s="572"/>
      <c r="BA39" s="572"/>
      <c r="BB39" s="572"/>
    </row>
    <row r="40" spans="2:54" ht="16.5" customHeight="1" x14ac:dyDescent="0.2">
      <c r="B40" s="579"/>
      <c r="C40" s="601"/>
      <c r="D40" s="601"/>
      <c r="E40" s="578"/>
      <c r="F40" s="572"/>
      <c r="G40" s="579"/>
      <c r="H40" s="189"/>
      <c r="I40" s="189"/>
      <c r="J40" s="594"/>
      <c r="K40" s="594"/>
      <c r="L40" s="594"/>
      <c r="M40" s="594"/>
      <c r="N40" s="213"/>
      <c r="O40" s="203"/>
      <c r="P40" s="572"/>
      <c r="Q40" s="572"/>
      <c r="R40" s="572"/>
      <c r="S40" s="572"/>
      <c r="T40" s="572"/>
      <c r="U40" s="572"/>
      <c r="V40" s="572"/>
      <c r="W40" s="572"/>
      <c r="X40" s="572"/>
      <c r="Y40" s="572"/>
      <c r="Z40" s="572"/>
      <c r="AA40" s="572"/>
      <c r="AB40" s="572"/>
      <c r="AC40" s="572"/>
      <c r="AD40" s="572"/>
      <c r="AE40" s="572"/>
      <c r="AF40" s="572"/>
      <c r="AG40" s="572"/>
      <c r="AH40" s="572"/>
      <c r="AI40" s="572"/>
      <c r="AJ40" s="572"/>
      <c r="AK40" s="572"/>
      <c r="AL40" s="572"/>
      <c r="AM40" s="572"/>
      <c r="AN40" s="572"/>
      <c r="AO40" s="572"/>
      <c r="AP40" s="572"/>
      <c r="AQ40" s="572"/>
      <c r="AR40" s="572"/>
      <c r="AS40" s="572"/>
      <c r="AT40" s="572"/>
      <c r="AU40" s="572"/>
      <c r="AV40" s="572"/>
      <c r="AW40" s="572"/>
      <c r="AX40" s="572"/>
      <c r="AY40" s="572"/>
      <c r="AZ40" s="572"/>
      <c r="BA40" s="572"/>
      <c r="BB40" s="572"/>
    </row>
    <row r="41" spans="2:54" ht="16.5" customHeight="1" x14ac:dyDescent="0.2">
      <c r="B41" s="579"/>
      <c r="C41" s="533"/>
      <c r="D41" s="533"/>
      <c r="E41" s="578"/>
      <c r="F41" s="572"/>
      <c r="G41" s="579"/>
      <c r="H41" s="189"/>
      <c r="I41" s="189"/>
      <c r="J41" s="533"/>
      <c r="K41" s="533"/>
      <c r="L41" s="586"/>
      <c r="M41" s="586"/>
      <c r="N41" s="212"/>
      <c r="O41" s="191"/>
      <c r="P41" s="572"/>
      <c r="Q41" s="572"/>
      <c r="R41" s="572"/>
      <c r="S41" s="572"/>
      <c r="T41" s="572"/>
      <c r="U41" s="572"/>
      <c r="V41" s="572"/>
      <c r="W41" s="572"/>
      <c r="X41" s="572"/>
      <c r="Y41" s="572"/>
      <c r="Z41" s="572"/>
      <c r="AA41" s="572"/>
      <c r="AB41" s="572"/>
      <c r="AC41" s="572"/>
      <c r="AD41" s="572"/>
      <c r="AE41" s="572"/>
      <c r="AF41" s="572"/>
      <c r="AG41" s="572"/>
      <c r="AH41" s="572"/>
      <c r="AI41" s="572"/>
      <c r="AJ41" s="572"/>
      <c r="AK41" s="572"/>
      <c r="AL41" s="572"/>
      <c r="AM41" s="572"/>
      <c r="AN41" s="572"/>
      <c r="AO41" s="572"/>
      <c r="AP41" s="572"/>
      <c r="AQ41" s="572"/>
      <c r="AR41" s="572"/>
      <c r="AS41" s="572"/>
      <c r="AT41" s="572"/>
      <c r="AU41" s="572"/>
      <c r="AV41" s="572"/>
      <c r="AW41" s="572"/>
      <c r="AX41" s="572"/>
      <c r="AY41" s="572"/>
      <c r="AZ41" s="572"/>
      <c r="BA41" s="572"/>
      <c r="BB41" s="572"/>
    </row>
    <row r="42" spans="2:54" ht="16.5" customHeight="1" x14ac:dyDescent="0.2">
      <c r="B42" s="604" t="s">
        <v>741</v>
      </c>
      <c r="C42" s="594"/>
      <c r="D42" s="594"/>
      <c r="E42" s="578"/>
      <c r="F42" s="572"/>
      <c r="G42" s="604" t="s">
        <v>741</v>
      </c>
      <c r="H42" s="605"/>
      <c r="I42" s="605"/>
      <c r="J42" s="594"/>
      <c r="K42" s="594"/>
      <c r="L42" s="594"/>
      <c r="M42" s="594"/>
      <c r="N42" s="213"/>
      <c r="O42" s="203"/>
      <c r="P42" s="572"/>
      <c r="Q42" s="572"/>
      <c r="R42" s="572"/>
      <c r="S42" s="572"/>
      <c r="T42" s="572"/>
      <c r="U42" s="572"/>
      <c r="V42" s="572"/>
      <c r="W42" s="572"/>
      <c r="X42" s="572"/>
      <c r="Y42" s="572"/>
      <c r="Z42" s="572"/>
      <c r="AA42" s="572"/>
      <c r="AB42" s="572"/>
      <c r="AC42" s="572"/>
      <c r="AD42" s="572"/>
      <c r="AE42" s="572"/>
      <c r="AF42" s="572"/>
      <c r="AG42" s="572"/>
      <c r="AH42" s="572"/>
      <c r="AI42" s="572"/>
      <c r="AJ42" s="572"/>
      <c r="AK42" s="572"/>
      <c r="AL42" s="572"/>
      <c r="AM42" s="572"/>
      <c r="AN42" s="572"/>
      <c r="AO42" s="572"/>
      <c r="AP42" s="572"/>
      <c r="AQ42" s="572"/>
      <c r="AR42" s="572"/>
      <c r="AS42" s="572"/>
      <c r="AT42" s="572"/>
      <c r="AU42" s="572"/>
      <c r="AV42" s="572"/>
      <c r="AW42" s="572"/>
      <c r="AX42" s="572"/>
      <c r="AY42" s="572"/>
      <c r="AZ42" s="572"/>
      <c r="BA42" s="572"/>
      <c r="BB42" s="572"/>
    </row>
    <row r="43" spans="2:54" ht="16.5" customHeight="1" x14ac:dyDescent="0.2">
      <c r="B43" s="604"/>
      <c r="C43" s="601"/>
      <c r="D43" s="601"/>
      <c r="E43" s="578"/>
      <c r="F43" s="572"/>
      <c r="G43" s="604"/>
      <c r="H43" s="605"/>
      <c r="I43" s="605"/>
      <c r="J43" s="594"/>
      <c r="K43" s="594"/>
      <c r="L43" s="594"/>
      <c r="M43" s="594"/>
      <c r="N43" s="213"/>
      <c r="O43" s="203"/>
      <c r="P43" s="572"/>
      <c r="Q43" s="572"/>
      <c r="R43" s="572"/>
      <c r="S43" s="572"/>
      <c r="T43" s="572"/>
      <c r="U43" s="572"/>
      <c r="V43" s="572"/>
      <c r="W43" s="572"/>
      <c r="X43" s="572"/>
      <c r="Y43" s="572"/>
      <c r="Z43" s="572"/>
      <c r="AA43" s="572"/>
      <c r="AB43" s="572"/>
      <c r="AC43" s="572"/>
      <c r="AD43" s="572"/>
      <c r="AE43" s="572"/>
      <c r="AF43" s="572"/>
      <c r="AG43" s="572"/>
      <c r="AH43" s="572"/>
      <c r="AI43" s="572"/>
      <c r="AJ43" s="572"/>
      <c r="AK43" s="572"/>
      <c r="AL43" s="572"/>
      <c r="AM43" s="572"/>
      <c r="AN43" s="572"/>
      <c r="AO43" s="572"/>
      <c r="AP43" s="572"/>
      <c r="AQ43" s="572"/>
      <c r="AR43" s="572"/>
      <c r="AS43" s="572"/>
      <c r="AT43" s="572"/>
      <c r="AU43" s="572"/>
      <c r="AV43" s="572"/>
      <c r="AW43" s="572"/>
      <c r="AX43" s="572"/>
      <c r="AY43" s="572"/>
      <c r="AZ43" s="572"/>
      <c r="BA43" s="572"/>
      <c r="BB43" s="572"/>
    </row>
    <row r="44" spans="2:54" ht="16.5" customHeight="1" x14ac:dyDescent="0.2">
      <c r="B44" s="208"/>
      <c r="C44" s="601"/>
      <c r="D44" s="601"/>
      <c r="E44" s="578"/>
      <c r="F44" s="572"/>
      <c r="G44" s="208"/>
      <c r="H44" s="189"/>
      <c r="I44" s="189"/>
      <c r="J44" s="594"/>
      <c r="K44" s="594"/>
      <c r="L44" s="594"/>
      <c r="M44" s="594"/>
      <c r="N44" s="213"/>
      <c r="O44" s="203"/>
      <c r="P44" s="572"/>
      <c r="Q44" s="572"/>
      <c r="R44" s="572"/>
      <c r="S44" s="572"/>
      <c r="T44" s="572"/>
      <c r="U44" s="572"/>
      <c r="V44" s="572"/>
      <c r="W44" s="572"/>
      <c r="X44" s="572"/>
      <c r="Y44" s="572"/>
      <c r="Z44" s="572"/>
      <c r="AA44" s="572"/>
      <c r="AB44" s="572"/>
      <c r="AC44" s="572"/>
      <c r="AD44" s="572"/>
      <c r="AE44" s="572"/>
      <c r="AF44" s="572"/>
      <c r="AG44" s="572"/>
      <c r="AH44" s="572"/>
      <c r="AI44" s="572"/>
      <c r="AJ44" s="572"/>
      <c r="AK44" s="572"/>
      <c r="AL44" s="572"/>
      <c r="AM44" s="572"/>
      <c r="AN44" s="572"/>
      <c r="AO44" s="572"/>
      <c r="AP44" s="572"/>
      <c r="AQ44" s="572"/>
      <c r="AR44" s="572"/>
      <c r="AS44" s="572"/>
      <c r="AT44" s="572"/>
      <c r="AU44" s="572"/>
      <c r="AV44" s="572"/>
      <c r="AW44" s="572"/>
      <c r="AX44" s="572"/>
      <c r="AY44" s="572"/>
      <c r="AZ44" s="572"/>
      <c r="BA44" s="572"/>
      <c r="BB44" s="572"/>
    </row>
    <row r="45" spans="2:54" ht="16.5" customHeight="1" x14ac:dyDescent="0.2">
      <c r="B45" s="208"/>
      <c r="C45" s="193"/>
      <c r="D45" s="193"/>
      <c r="E45" s="209"/>
      <c r="F45" s="572"/>
      <c r="G45" s="208"/>
      <c r="H45" s="189"/>
      <c r="I45" s="189"/>
      <c r="J45" s="193"/>
      <c r="K45" s="193"/>
      <c r="L45" s="586"/>
      <c r="M45" s="586"/>
      <c r="N45" s="212"/>
      <c r="O45" s="191"/>
      <c r="P45" s="572"/>
      <c r="Q45" s="572"/>
      <c r="R45" s="572"/>
      <c r="S45" s="572"/>
      <c r="T45" s="572"/>
      <c r="U45" s="572"/>
      <c r="V45" s="572"/>
      <c r="W45" s="572"/>
      <c r="X45" s="572"/>
      <c r="Y45" s="572"/>
      <c r="Z45" s="572"/>
      <c r="AA45" s="572"/>
      <c r="AB45" s="572"/>
      <c r="AC45" s="572"/>
      <c r="AD45" s="572"/>
      <c r="AE45" s="572"/>
      <c r="AF45" s="572"/>
      <c r="AG45" s="572"/>
      <c r="AH45" s="572"/>
      <c r="AI45" s="572"/>
      <c r="AJ45" s="572"/>
      <c r="AK45" s="572"/>
      <c r="AL45" s="572"/>
      <c r="AM45" s="572"/>
      <c r="AN45" s="572"/>
      <c r="AO45" s="572"/>
      <c r="AP45" s="572"/>
      <c r="AQ45" s="572"/>
      <c r="AR45" s="572"/>
      <c r="AS45" s="572"/>
      <c r="AT45" s="572"/>
      <c r="AU45" s="572"/>
      <c r="AV45" s="572"/>
      <c r="AW45" s="572"/>
      <c r="AX45" s="572"/>
      <c r="AY45" s="572"/>
      <c r="AZ45" s="572"/>
      <c r="BA45" s="572"/>
      <c r="BB45" s="572"/>
    </row>
    <row r="46" spans="2:54" ht="16.5" customHeight="1" x14ac:dyDescent="0.2">
      <c r="B46" s="604" t="s">
        <v>743</v>
      </c>
      <c r="C46" s="594"/>
      <c r="D46" s="594"/>
      <c r="E46" s="578"/>
      <c r="F46" s="572"/>
      <c r="G46" s="604" t="s">
        <v>743</v>
      </c>
      <c r="H46" s="605"/>
      <c r="I46" s="605"/>
      <c r="J46" s="594"/>
      <c r="K46" s="594"/>
      <c r="L46" s="594"/>
      <c r="M46" s="594"/>
      <c r="N46" s="213"/>
      <c r="O46" s="203"/>
      <c r="P46" s="572"/>
      <c r="Q46" s="572"/>
      <c r="R46" s="572"/>
      <c r="S46" s="572"/>
      <c r="T46" s="572"/>
      <c r="U46" s="572"/>
      <c r="V46" s="572"/>
      <c r="W46" s="572"/>
      <c r="X46" s="572"/>
      <c r="Y46" s="572"/>
      <c r="Z46" s="572"/>
      <c r="AA46" s="572"/>
      <c r="AB46" s="572"/>
      <c r="AC46" s="572"/>
      <c r="AD46" s="572"/>
      <c r="AE46" s="572"/>
      <c r="AF46" s="572"/>
      <c r="AG46" s="572"/>
      <c r="AH46" s="572"/>
      <c r="AI46" s="572"/>
      <c r="AJ46" s="572"/>
      <c r="AK46" s="572"/>
      <c r="AL46" s="572"/>
      <c r="AM46" s="572"/>
      <c r="AN46" s="572"/>
      <c r="AO46" s="572"/>
      <c r="AP46" s="572"/>
      <c r="AQ46" s="572"/>
      <c r="AR46" s="572"/>
      <c r="AS46" s="572"/>
      <c r="AT46" s="572"/>
      <c r="AU46" s="572"/>
      <c r="AV46" s="572"/>
      <c r="AW46" s="572"/>
      <c r="AX46" s="572"/>
      <c r="AY46" s="572"/>
      <c r="AZ46" s="572"/>
      <c r="BA46" s="572"/>
      <c r="BB46" s="572"/>
    </row>
    <row r="47" spans="2:54" ht="16.5" customHeight="1" x14ac:dyDescent="0.2">
      <c r="B47" s="604"/>
      <c r="C47" s="601"/>
      <c r="D47" s="601"/>
      <c r="E47" s="578"/>
      <c r="F47" s="572"/>
      <c r="G47" s="604"/>
      <c r="H47" s="605"/>
      <c r="I47" s="605"/>
      <c r="J47" s="594"/>
      <c r="K47" s="594"/>
      <c r="L47" s="594"/>
      <c r="M47" s="594"/>
      <c r="N47" s="213"/>
      <c r="O47" s="203"/>
      <c r="P47" s="572"/>
      <c r="Q47" s="572"/>
      <c r="R47" s="572"/>
      <c r="S47" s="572"/>
      <c r="T47" s="572"/>
      <c r="U47" s="572"/>
      <c r="V47" s="572"/>
      <c r="W47" s="572"/>
      <c r="X47" s="572"/>
      <c r="Y47" s="572"/>
      <c r="Z47" s="572"/>
      <c r="AA47" s="572"/>
      <c r="AB47" s="572"/>
      <c r="AC47" s="572"/>
      <c r="AD47" s="572"/>
      <c r="AE47" s="572"/>
      <c r="AF47" s="572"/>
      <c r="AG47" s="572"/>
      <c r="AH47" s="572"/>
      <c r="AI47" s="572"/>
      <c r="AJ47" s="572"/>
      <c r="AK47" s="572"/>
      <c r="AL47" s="572"/>
      <c r="AM47" s="572"/>
      <c r="AN47" s="572"/>
      <c r="AO47" s="572"/>
      <c r="AP47" s="572"/>
      <c r="AQ47" s="572"/>
      <c r="AR47" s="572"/>
      <c r="AS47" s="572"/>
      <c r="AT47" s="572"/>
      <c r="AU47" s="572"/>
      <c r="AV47" s="572"/>
      <c r="AW47" s="572"/>
      <c r="AX47" s="572"/>
      <c r="AY47" s="572"/>
      <c r="AZ47" s="572"/>
      <c r="BA47" s="572"/>
      <c r="BB47" s="572"/>
    </row>
    <row r="48" spans="2:54" ht="16.5" customHeight="1" x14ac:dyDescent="0.2">
      <c r="B48" s="604"/>
      <c r="C48" s="601"/>
      <c r="D48" s="601"/>
      <c r="E48" s="578"/>
      <c r="F48" s="572"/>
      <c r="G48" s="604"/>
      <c r="H48" s="605"/>
      <c r="I48" s="605"/>
      <c r="J48" s="594"/>
      <c r="K48" s="594"/>
      <c r="L48" s="594"/>
      <c r="M48" s="594"/>
      <c r="N48" s="213"/>
      <c r="O48" s="203"/>
      <c r="P48" s="572"/>
      <c r="Q48" s="572"/>
      <c r="R48" s="572"/>
      <c r="S48" s="572"/>
      <c r="T48" s="572"/>
      <c r="U48" s="572"/>
      <c r="V48" s="572"/>
      <c r="W48" s="572"/>
      <c r="X48" s="572"/>
      <c r="Y48" s="572"/>
      <c r="Z48" s="572"/>
      <c r="AA48" s="572"/>
      <c r="AB48" s="572"/>
      <c r="AC48" s="572"/>
      <c r="AD48" s="572"/>
      <c r="AE48" s="572"/>
      <c r="AF48" s="572"/>
      <c r="AG48" s="572"/>
      <c r="AH48" s="572"/>
      <c r="AI48" s="572"/>
      <c r="AJ48" s="572"/>
      <c r="AK48" s="572"/>
      <c r="AL48" s="572"/>
      <c r="AM48" s="572"/>
      <c r="AN48" s="572"/>
      <c r="AO48" s="572"/>
      <c r="AP48" s="572"/>
      <c r="AQ48" s="572"/>
      <c r="AR48" s="572"/>
      <c r="AS48" s="572"/>
      <c r="AT48" s="572"/>
      <c r="AU48" s="572"/>
      <c r="AV48" s="572"/>
      <c r="AW48" s="572"/>
      <c r="AX48" s="572"/>
      <c r="AY48" s="572"/>
      <c r="AZ48" s="572"/>
      <c r="BA48" s="572"/>
      <c r="BB48" s="572"/>
    </row>
    <row r="49" spans="2:54" ht="16.5" customHeight="1" x14ac:dyDescent="0.2">
      <c r="B49" s="208"/>
      <c r="C49" s="193"/>
      <c r="D49" s="193"/>
      <c r="E49" s="578"/>
      <c r="F49" s="572"/>
      <c r="G49" s="208"/>
      <c r="H49" s="189"/>
      <c r="I49" s="189"/>
      <c r="J49" s="193"/>
      <c r="K49" s="193"/>
      <c r="L49" s="586"/>
      <c r="M49" s="586"/>
      <c r="N49" s="213"/>
      <c r="O49" s="203"/>
      <c r="P49" s="572"/>
      <c r="Q49" s="572"/>
      <c r="R49" s="572"/>
      <c r="S49" s="572"/>
      <c r="T49" s="572"/>
      <c r="U49" s="572"/>
      <c r="V49" s="572"/>
      <c r="W49" s="572"/>
      <c r="X49" s="572"/>
      <c r="Y49" s="572"/>
      <c r="Z49" s="572"/>
      <c r="AA49" s="572"/>
      <c r="AB49" s="572"/>
      <c r="AC49" s="572"/>
      <c r="AD49" s="572"/>
      <c r="AE49" s="572"/>
      <c r="AF49" s="572"/>
      <c r="AG49" s="572"/>
      <c r="AH49" s="572"/>
      <c r="AI49" s="572"/>
      <c r="AJ49" s="572"/>
      <c r="AK49" s="572"/>
      <c r="AL49" s="572"/>
      <c r="AM49" s="572"/>
      <c r="AN49" s="572"/>
      <c r="AO49" s="572"/>
      <c r="AP49" s="572"/>
      <c r="AQ49" s="572"/>
      <c r="AR49" s="572"/>
      <c r="AS49" s="572"/>
      <c r="AT49" s="572"/>
      <c r="AU49" s="572"/>
      <c r="AV49" s="572"/>
      <c r="AW49" s="572"/>
      <c r="AX49" s="572"/>
      <c r="AY49" s="572"/>
      <c r="AZ49" s="572"/>
      <c r="BA49" s="572"/>
      <c r="BB49" s="572"/>
    </row>
    <row r="50" spans="2:54" ht="16.5" customHeight="1" x14ac:dyDescent="0.2">
      <c r="B50" s="604" t="s">
        <v>745</v>
      </c>
      <c r="C50" s="594"/>
      <c r="D50" s="594"/>
      <c r="E50" s="578"/>
      <c r="F50" s="572"/>
      <c r="G50" s="604" t="s">
        <v>745</v>
      </c>
      <c r="H50" s="605"/>
      <c r="I50" s="605"/>
      <c r="J50" s="594"/>
      <c r="K50" s="594"/>
      <c r="L50" s="594"/>
      <c r="M50" s="594"/>
      <c r="N50" s="213"/>
      <c r="O50" s="203"/>
      <c r="P50" s="572"/>
      <c r="Q50" s="572"/>
      <c r="R50" s="572"/>
      <c r="S50" s="572"/>
      <c r="T50" s="572"/>
      <c r="U50" s="572"/>
      <c r="V50" s="572"/>
      <c r="W50" s="572"/>
      <c r="X50" s="572"/>
      <c r="Y50" s="572"/>
      <c r="Z50" s="572"/>
      <c r="AA50" s="572"/>
      <c r="AB50" s="572"/>
      <c r="AC50" s="572"/>
      <c r="AD50" s="572"/>
      <c r="AE50" s="572"/>
      <c r="AF50" s="572"/>
      <c r="AG50" s="572"/>
      <c r="AH50" s="572"/>
      <c r="AI50" s="572"/>
      <c r="AJ50" s="572"/>
      <c r="AK50" s="572"/>
      <c r="AL50" s="572"/>
      <c r="AM50" s="572"/>
      <c r="AN50" s="572"/>
      <c r="AO50" s="572"/>
      <c r="AP50" s="572"/>
      <c r="AQ50" s="572"/>
      <c r="AR50" s="572"/>
      <c r="AS50" s="572"/>
      <c r="AT50" s="572"/>
      <c r="AU50" s="572"/>
      <c r="AV50" s="572"/>
      <c r="AW50" s="572"/>
      <c r="AX50" s="572"/>
      <c r="AY50" s="572"/>
      <c r="AZ50" s="572"/>
      <c r="BA50" s="572"/>
      <c r="BB50" s="572"/>
    </row>
    <row r="51" spans="2:54" ht="16.5" customHeight="1" x14ac:dyDescent="0.2">
      <c r="B51" s="604"/>
      <c r="C51" s="601"/>
      <c r="D51" s="601"/>
      <c r="E51" s="578"/>
      <c r="F51" s="572"/>
      <c r="G51" s="604"/>
      <c r="H51" s="605"/>
      <c r="I51" s="605"/>
      <c r="J51" s="594"/>
      <c r="K51" s="594"/>
      <c r="L51" s="594"/>
      <c r="M51" s="594"/>
      <c r="N51" s="213"/>
      <c r="O51" s="203"/>
      <c r="P51" s="572"/>
      <c r="Q51" s="572"/>
      <c r="R51" s="572"/>
      <c r="S51" s="572"/>
      <c r="T51" s="572"/>
      <c r="U51" s="572"/>
      <c r="V51" s="572"/>
      <c r="W51" s="572"/>
      <c r="X51" s="572"/>
      <c r="Y51" s="572"/>
      <c r="Z51" s="572"/>
      <c r="AA51" s="572"/>
      <c r="AB51" s="572"/>
      <c r="AC51" s="572"/>
      <c r="AD51" s="572"/>
      <c r="AE51" s="572"/>
      <c r="AF51" s="572"/>
      <c r="AG51" s="572"/>
      <c r="AH51" s="572"/>
      <c r="AI51" s="572"/>
      <c r="AJ51" s="572"/>
      <c r="AK51" s="572"/>
      <c r="AL51" s="572"/>
      <c r="AM51" s="572"/>
      <c r="AN51" s="572"/>
      <c r="AO51" s="572"/>
      <c r="AP51" s="572"/>
      <c r="AQ51" s="572"/>
      <c r="AR51" s="572"/>
      <c r="AS51" s="572"/>
      <c r="AT51" s="572"/>
      <c r="AU51" s="572"/>
      <c r="AV51" s="572"/>
      <c r="AW51" s="572"/>
      <c r="AX51" s="572"/>
      <c r="AY51" s="572"/>
      <c r="AZ51" s="572"/>
      <c r="BA51" s="572"/>
      <c r="BB51" s="572"/>
    </row>
    <row r="52" spans="2:54" ht="16.5" customHeight="1" x14ac:dyDescent="0.2">
      <c r="B52" s="604"/>
      <c r="C52" s="601"/>
      <c r="D52" s="601"/>
      <c r="E52" s="578"/>
      <c r="F52" s="572"/>
      <c r="G52" s="604"/>
      <c r="H52" s="605"/>
      <c r="I52" s="605"/>
      <c r="J52" s="594"/>
      <c r="K52" s="594"/>
      <c r="L52" s="594"/>
      <c r="M52" s="594"/>
      <c r="N52" s="213"/>
      <c r="O52" s="203"/>
      <c r="P52" s="572"/>
      <c r="Q52" s="572"/>
      <c r="R52" s="572"/>
      <c r="S52" s="572"/>
      <c r="T52" s="572"/>
      <c r="U52" s="572"/>
      <c r="V52" s="572"/>
      <c r="W52" s="572"/>
      <c r="X52" s="572"/>
      <c r="Y52" s="572"/>
      <c r="Z52" s="572"/>
      <c r="AA52" s="572"/>
      <c r="AB52" s="572"/>
      <c r="AC52" s="572"/>
      <c r="AD52" s="572"/>
      <c r="AE52" s="572"/>
      <c r="AF52" s="572"/>
      <c r="AG52" s="572"/>
      <c r="AH52" s="572"/>
      <c r="AI52" s="572"/>
      <c r="AJ52" s="572"/>
      <c r="AK52" s="572"/>
      <c r="AL52" s="572"/>
      <c r="AM52" s="572"/>
      <c r="AN52" s="572"/>
      <c r="AO52" s="572"/>
      <c r="AP52" s="572"/>
      <c r="AQ52" s="572"/>
      <c r="AR52" s="572"/>
      <c r="AS52" s="572"/>
      <c r="AT52" s="572"/>
      <c r="AU52" s="572"/>
      <c r="AV52" s="572"/>
      <c r="AW52" s="572"/>
      <c r="AX52" s="572"/>
      <c r="AY52" s="572"/>
      <c r="AZ52" s="572"/>
      <c r="BA52" s="572"/>
      <c r="BB52" s="572"/>
    </row>
    <row r="53" spans="2:54" ht="18.75" thickBot="1" x14ac:dyDescent="0.25">
      <c r="B53" s="580"/>
      <c r="C53" s="210"/>
      <c r="D53" s="210"/>
      <c r="E53" s="581"/>
      <c r="F53" s="572"/>
      <c r="G53" s="580"/>
      <c r="H53" s="210"/>
      <c r="I53" s="210"/>
      <c r="J53" s="582"/>
      <c r="K53" s="576"/>
      <c r="L53" s="206"/>
      <c r="M53" s="206"/>
      <c r="N53" s="207"/>
      <c r="O53" s="203"/>
      <c r="P53" s="572"/>
      <c r="Q53" s="572"/>
      <c r="R53" s="572"/>
      <c r="S53" s="572"/>
      <c r="T53" s="572"/>
      <c r="U53" s="572"/>
      <c r="V53" s="572"/>
      <c r="W53" s="572"/>
      <c r="X53" s="572"/>
      <c r="Y53" s="572"/>
      <c r="Z53" s="572"/>
      <c r="AA53" s="572"/>
      <c r="AB53" s="572"/>
      <c r="AC53" s="572"/>
      <c r="AD53" s="572"/>
      <c r="AE53" s="572"/>
      <c r="AF53" s="572"/>
      <c r="AG53" s="572"/>
      <c r="AH53" s="572"/>
      <c r="AI53" s="572"/>
      <c r="AJ53" s="572"/>
      <c r="AK53" s="572"/>
      <c r="AL53" s="572"/>
      <c r="AM53" s="572"/>
      <c r="AN53" s="572"/>
      <c r="AO53" s="572"/>
      <c r="AP53" s="572"/>
      <c r="AQ53" s="572"/>
      <c r="AR53" s="572"/>
      <c r="AS53" s="572"/>
      <c r="AT53" s="572"/>
      <c r="AU53" s="572"/>
      <c r="AV53" s="572"/>
      <c r="AW53" s="572"/>
      <c r="AX53" s="572"/>
      <c r="AY53" s="572"/>
      <c r="AZ53" s="572"/>
      <c r="BA53" s="572"/>
      <c r="BB53" s="572"/>
    </row>
    <row r="54" spans="2:54" ht="18" x14ac:dyDescent="0.2">
      <c r="B54" s="572"/>
      <c r="C54" s="191"/>
      <c r="D54" s="191"/>
      <c r="E54" s="572"/>
      <c r="F54" s="572"/>
      <c r="G54" s="611"/>
      <c r="H54" s="611"/>
      <c r="I54" s="611"/>
      <c r="J54" s="572"/>
      <c r="K54" s="572"/>
      <c r="L54" s="611"/>
      <c r="M54" s="611"/>
      <c r="N54" s="611"/>
      <c r="O54" s="611"/>
      <c r="P54" s="572"/>
      <c r="Q54" s="572"/>
      <c r="R54" s="572"/>
      <c r="S54" s="572"/>
      <c r="T54" s="572"/>
      <c r="U54" s="572"/>
      <c r="V54" s="572"/>
      <c r="W54" s="572"/>
      <c r="X54" s="572"/>
      <c r="Y54" s="572"/>
      <c r="Z54" s="572"/>
      <c r="AA54" s="572"/>
      <c r="AB54" s="572"/>
      <c r="AC54" s="572"/>
      <c r="AD54" s="572"/>
      <c r="AE54" s="572"/>
      <c r="AF54" s="572"/>
      <c r="AG54" s="572"/>
      <c r="AH54" s="572"/>
      <c r="AI54" s="572"/>
      <c r="AJ54" s="572"/>
      <c r="AK54" s="572"/>
      <c r="AL54" s="572"/>
      <c r="AM54" s="572"/>
      <c r="AN54" s="572"/>
      <c r="AO54" s="572"/>
      <c r="AP54" s="572"/>
      <c r="AQ54" s="572"/>
      <c r="AR54" s="572"/>
      <c r="AS54" s="572"/>
      <c r="AT54" s="572"/>
      <c r="AU54" s="572"/>
      <c r="AV54" s="572"/>
      <c r="AW54" s="572"/>
      <c r="AX54" s="572"/>
      <c r="AY54" s="572"/>
      <c r="AZ54" s="572"/>
      <c r="BA54" s="572"/>
      <c r="BB54" s="572"/>
    </row>
    <row r="55" spans="2:54" ht="18" x14ac:dyDescent="0.2">
      <c r="B55" s="572"/>
      <c r="C55" s="191"/>
      <c r="D55" s="191"/>
      <c r="E55" s="572"/>
      <c r="F55" s="572"/>
      <c r="G55" s="611"/>
      <c r="H55" s="611"/>
      <c r="I55" s="611"/>
      <c r="J55" s="572"/>
      <c r="K55" s="572"/>
      <c r="L55" s="611"/>
      <c r="M55" s="611"/>
      <c r="N55" s="611"/>
      <c r="O55" s="611"/>
      <c r="P55" s="572"/>
      <c r="Q55" s="572"/>
      <c r="R55" s="572"/>
      <c r="S55" s="572"/>
      <c r="T55" s="572"/>
      <c r="U55" s="572"/>
      <c r="V55" s="572"/>
      <c r="W55" s="572"/>
      <c r="X55" s="572"/>
      <c r="Y55" s="572"/>
      <c r="Z55" s="572"/>
      <c r="AA55" s="572"/>
      <c r="AB55" s="572"/>
      <c r="AC55" s="572"/>
      <c r="AD55" s="572"/>
      <c r="AE55" s="572"/>
      <c r="AF55" s="572"/>
      <c r="AG55" s="572"/>
      <c r="AH55" s="572"/>
      <c r="AI55" s="572"/>
      <c r="AJ55" s="572"/>
      <c r="AK55" s="572"/>
      <c r="AL55" s="572"/>
      <c r="AM55" s="572"/>
      <c r="AN55" s="572"/>
      <c r="AO55" s="572"/>
      <c r="AP55" s="572"/>
      <c r="AQ55" s="572"/>
      <c r="AR55" s="572"/>
      <c r="AS55" s="572"/>
      <c r="AT55" s="572"/>
      <c r="AU55" s="572"/>
      <c r="AV55" s="572"/>
      <c r="AW55" s="572"/>
      <c r="AX55" s="572"/>
      <c r="AY55" s="572"/>
      <c r="AZ55" s="572"/>
      <c r="BA55" s="572"/>
      <c r="BB55" s="572"/>
    </row>
    <row r="56" spans="2:54" ht="18" x14ac:dyDescent="0.2">
      <c r="B56" s="572"/>
      <c r="C56" s="191"/>
      <c r="D56" s="191"/>
      <c r="E56" s="572"/>
      <c r="F56" s="572"/>
      <c r="G56" s="611"/>
      <c r="H56" s="611"/>
      <c r="I56" s="611"/>
      <c r="J56" s="572"/>
      <c r="K56" s="572"/>
      <c r="L56" s="611"/>
      <c r="M56" s="611"/>
      <c r="N56" s="611"/>
      <c r="O56" s="611"/>
      <c r="P56" s="572"/>
      <c r="Q56" s="572"/>
      <c r="R56" s="572"/>
      <c r="S56" s="572"/>
      <c r="T56" s="572"/>
      <c r="U56" s="572"/>
      <c r="V56" s="572"/>
      <c r="W56" s="572"/>
      <c r="X56" s="572"/>
      <c r="Y56" s="572"/>
      <c r="Z56" s="572"/>
      <c r="AA56" s="572"/>
      <c r="AB56" s="572"/>
      <c r="AC56" s="572"/>
      <c r="AD56" s="572"/>
      <c r="AE56" s="572"/>
      <c r="AF56" s="572"/>
      <c r="AG56" s="572"/>
      <c r="AH56" s="572"/>
      <c r="AI56" s="572"/>
      <c r="AJ56" s="572"/>
      <c r="AK56" s="572"/>
      <c r="AL56" s="572"/>
      <c r="AM56" s="572"/>
      <c r="AN56" s="572"/>
      <c r="AO56" s="572"/>
      <c r="AP56" s="572"/>
      <c r="AQ56" s="572"/>
      <c r="AR56" s="572"/>
      <c r="AS56" s="572"/>
      <c r="AT56" s="572"/>
      <c r="AU56" s="572"/>
      <c r="AV56" s="572"/>
      <c r="AW56" s="572"/>
      <c r="AX56" s="572"/>
      <c r="AY56" s="572"/>
      <c r="AZ56" s="572"/>
      <c r="BA56" s="572"/>
      <c r="BB56" s="572"/>
    </row>
    <row r="57" spans="2:54" ht="18" x14ac:dyDescent="0.2">
      <c r="B57" s="572"/>
      <c r="C57" s="611"/>
      <c r="D57" s="611"/>
      <c r="E57" s="572"/>
      <c r="F57" s="572"/>
      <c r="G57" s="611"/>
      <c r="H57" s="611"/>
      <c r="I57" s="611"/>
      <c r="J57" s="572"/>
      <c r="K57" s="572"/>
      <c r="L57" s="611"/>
      <c r="M57" s="611"/>
      <c r="N57" s="611"/>
      <c r="O57" s="611"/>
      <c r="P57" s="572"/>
      <c r="Q57" s="572"/>
      <c r="R57" s="572"/>
      <c r="S57" s="572"/>
      <c r="T57" s="572"/>
      <c r="U57" s="572"/>
      <c r="V57" s="572"/>
      <c r="W57" s="572"/>
      <c r="X57" s="572"/>
      <c r="Y57" s="572"/>
      <c r="Z57" s="572"/>
      <c r="AA57" s="572"/>
      <c r="AB57" s="572"/>
      <c r="AC57" s="572"/>
      <c r="AD57" s="572"/>
      <c r="AE57" s="572"/>
      <c r="AF57" s="572"/>
      <c r="AG57" s="572"/>
      <c r="AH57" s="572"/>
      <c r="AI57" s="572"/>
      <c r="AJ57" s="572"/>
      <c r="AK57" s="572"/>
      <c r="AL57" s="572"/>
      <c r="AM57" s="572"/>
      <c r="AN57" s="572"/>
      <c r="AO57" s="572"/>
      <c r="AP57" s="572"/>
      <c r="AQ57" s="572"/>
      <c r="AR57" s="572"/>
      <c r="AS57" s="572"/>
      <c r="AT57" s="572"/>
      <c r="AU57" s="572"/>
      <c r="AV57" s="572"/>
      <c r="AW57" s="572"/>
      <c r="AX57" s="572"/>
      <c r="AY57" s="572"/>
      <c r="AZ57" s="572"/>
      <c r="BA57" s="572"/>
      <c r="BB57" s="572"/>
    </row>
    <row r="58" spans="2:54" ht="18" x14ac:dyDescent="0.2">
      <c r="B58" s="572"/>
      <c r="C58" s="611"/>
      <c r="D58" s="611"/>
      <c r="E58" s="572"/>
      <c r="F58" s="572"/>
      <c r="G58" s="611"/>
      <c r="H58" s="611"/>
      <c r="I58" s="611"/>
      <c r="J58" s="572"/>
      <c r="K58" s="572"/>
      <c r="L58" s="611"/>
      <c r="M58" s="611"/>
      <c r="N58" s="611"/>
      <c r="O58" s="611"/>
      <c r="P58" s="572"/>
      <c r="Q58" s="572"/>
      <c r="R58" s="572"/>
      <c r="S58" s="572"/>
      <c r="T58" s="572"/>
      <c r="U58" s="572"/>
      <c r="V58" s="572"/>
      <c r="W58" s="572"/>
      <c r="X58" s="572"/>
      <c r="Y58" s="572"/>
      <c r="Z58" s="572"/>
      <c r="AA58" s="572"/>
      <c r="AB58" s="572"/>
      <c r="AC58" s="572"/>
      <c r="AD58" s="572"/>
      <c r="AE58" s="572"/>
      <c r="AF58" s="572"/>
      <c r="AG58" s="572"/>
      <c r="AH58" s="572"/>
      <c r="AI58" s="572"/>
      <c r="AJ58" s="572"/>
      <c r="AK58" s="572"/>
      <c r="AL58" s="572"/>
      <c r="AM58" s="572"/>
      <c r="AN58" s="572"/>
      <c r="AO58" s="572"/>
      <c r="AP58" s="572"/>
      <c r="AQ58" s="572"/>
      <c r="AR58" s="572"/>
      <c r="AS58" s="572"/>
      <c r="AT58" s="572"/>
      <c r="AU58" s="572"/>
      <c r="AV58" s="572"/>
      <c r="AW58" s="572"/>
      <c r="AX58" s="572"/>
      <c r="AY58" s="572"/>
      <c r="AZ58" s="572"/>
      <c r="BA58" s="572"/>
      <c r="BB58" s="572"/>
    </row>
    <row r="59" spans="2:54" ht="18" x14ac:dyDescent="0.2">
      <c r="B59" s="572"/>
      <c r="C59" s="611"/>
      <c r="D59" s="611"/>
      <c r="E59" s="572"/>
      <c r="F59" s="572"/>
      <c r="G59" s="611"/>
      <c r="H59" s="611"/>
      <c r="I59" s="611"/>
      <c r="J59" s="572"/>
      <c r="K59" s="572"/>
      <c r="L59" s="611"/>
      <c r="M59" s="611"/>
      <c r="N59" s="611"/>
      <c r="O59" s="611"/>
      <c r="P59" s="572"/>
      <c r="Q59" s="572"/>
      <c r="R59" s="572"/>
      <c r="S59" s="572"/>
      <c r="T59" s="572"/>
      <c r="U59" s="572"/>
      <c r="V59" s="572"/>
      <c r="W59" s="572"/>
      <c r="X59" s="572"/>
      <c r="Y59" s="572"/>
      <c r="Z59" s="572"/>
      <c r="AA59" s="572"/>
      <c r="AB59" s="572"/>
      <c r="AC59" s="572"/>
      <c r="AD59" s="572"/>
      <c r="AE59" s="572"/>
      <c r="AF59" s="572"/>
      <c r="AG59" s="572"/>
      <c r="AH59" s="572"/>
      <c r="AI59" s="572"/>
      <c r="AJ59" s="572"/>
      <c r="AK59" s="572"/>
      <c r="AL59" s="572"/>
      <c r="AM59" s="572"/>
      <c r="AN59" s="572"/>
      <c r="AO59" s="572"/>
      <c r="AP59" s="572"/>
      <c r="AQ59" s="572"/>
      <c r="AR59" s="572"/>
      <c r="AS59" s="572"/>
      <c r="AT59" s="572"/>
      <c r="AU59" s="572"/>
      <c r="AV59" s="572"/>
      <c r="AW59" s="572"/>
      <c r="AX59" s="572"/>
      <c r="AY59" s="572"/>
      <c r="AZ59" s="572"/>
      <c r="BA59" s="572"/>
      <c r="BB59" s="572"/>
    </row>
    <row r="60" spans="2:54" ht="18" x14ac:dyDescent="0.2">
      <c r="B60" s="572"/>
      <c r="C60" s="611"/>
      <c r="D60" s="611"/>
      <c r="E60" s="572"/>
      <c r="F60" s="572"/>
      <c r="G60" s="611"/>
      <c r="H60" s="611"/>
      <c r="I60" s="611"/>
      <c r="J60" s="572"/>
      <c r="K60" s="572"/>
      <c r="L60" s="611"/>
      <c r="M60" s="611"/>
      <c r="N60" s="611"/>
      <c r="O60" s="611"/>
      <c r="P60" s="572"/>
      <c r="Q60" s="572"/>
      <c r="R60" s="572"/>
      <c r="S60" s="572"/>
      <c r="T60" s="572"/>
      <c r="U60" s="572"/>
      <c r="V60" s="572"/>
      <c r="W60" s="572"/>
      <c r="X60" s="572"/>
      <c r="Y60" s="572"/>
      <c r="Z60" s="572"/>
      <c r="AA60" s="572"/>
      <c r="AB60" s="572"/>
      <c r="AC60" s="572"/>
      <c r="AD60" s="572"/>
      <c r="AE60" s="572"/>
      <c r="AF60" s="572"/>
      <c r="AG60" s="572"/>
      <c r="AH60" s="572"/>
      <c r="AI60" s="572"/>
      <c r="AJ60" s="572"/>
      <c r="AK60" s="572"/>
      <c r="AL60" s="572"/>
      <c r="AM60" s="572"/>
      <c r="AN60" s="572"/>
      <c r="AO60" s="572"/>
      <c r="AP60" s="572"/>
      <c r="AQ60" s="572"/>
      <c r="AR60" s="572"/>
      <c r="AS60" s="572"/>
      <c r="AT60" s="572"/>
      <c r="AU60" s="572"/>
      <c r="AV60" s="572"/>
      <c r="AW60" s="572"/>
      <c r="AX60" s="572"/>
      <c r="AY60" s="572"/>
      <c r="AZ60" s="572"/>
      <c r="BA60" s="572"/>
      <c r="BB60" s="572"/>
    </row>
    <row r="61" spans="2:54" ht="18" x14ac:dyDescent="0.2">
      <c r="B61" s="572"/>
      <c r="C61" s="611"/>
      <c r="D61" s="611"/>
      <c r="E61" s="572"/>
      <c r="F61" s="572"/>
      <c r="G61" s="611"/>
      <c r="H61" s="611"/>
      <c r="I61" s="611"/>
      <c r="J61" s="572"/>
      <c r="K61" s="572"/>
      <c r="L61" s="611"/>
      <c r="M61" s="611"/>
      <c r="N61" s="611"/>
      <c r="O61" s="611"/>
      <c r="P61" s="572"/>
      <c r="Q61" s="572"/>
      <c r="R61" s="572"/>
      <c r="S61" s="572"/>
      <c r="T61" s="572"/>
      <c r="U61" s="572"/>
      <c r="V61" s="572"/>
      <c r="W61" s="572"/>
      <c r="X61" s="572"/>
      <c r="Y61" s="572"/>
      <c r="Z61" s="572"/>
      <c r="AA61" s="572"/>
      <c r="AB61" s="572"/>
      <c r="AC61" s="572"/>
      <c r="AD61" s="572"/>
      <c r="AE61" s="572"/>
      <c r="AF61" s="572"/>
      <c r="AG61" s="572"/>
      <c r="AH61" s="572"/>
      <c r="AI61" s="572"/>
      <c r="AJ61" s="572"/>
      <c r="AK61" s="572"/>
      <c r="AL61" s="572"/>
      <c r="AM61" s="572"/>
      <c r="AN61" s="572"/>
      <c r="AO61" s="572"/>
      <c r="AP61" s="572"/>
      <c r="AQ61" s="572"/>
      <c r="AR61" s="572"/>
      <c r="AS61" s="572"/>
      <c r="AT61" s="572"/>
      <c r="AU61" s="572"/>
      <c r="AV61" s="572"/>
      <c r="AW61" s="572"/>
      <c r="AX61" s="572"/>
      <c r="AY61" s="572"/>
      <c r="AZ61" s="572"/>
      <c r="BA61" s="572"/>
      <c r="BB61" s="572"/>
    </row>
    <row r="62" spans="2:54" ht="18" x14ac:dyDescent="0.2">
      <c r="B62" s="572"/>
      <c r="C62" s="611"/>
      <c r="D62" s="611"/>
      <c r="E62" s="572"/>
      <c r="F62" s="572"/>
      <c r="G62" s="611"/>
      <c r="H62" s="611"/>
      <c r="I62" s="611"/>
      <c r="J62" s="572"/>
      <c r="K62" s="572"/>
      <c r="L62" s="611"/>
      <c r="M62" s="611"/>
      <c r="N62" s="611"/>
      <c r="O62" s="611"/>
      <c r="P62" s="572"/>
      <c r="Q62" s="572"/>
      <c r="R62" s="572"/>
      <c r="S62" s="572"/>
      <c r="T62" s="572"/>
      <c r="U62" s="572"/>
      <c r="V62" s="572"/>
      <c r="W62" s="572"/>
      <c r="X62" s="572"/>
      <c r="Y62" s="572"/>
      <c r="Z62" s="572"/>
      <c r="AA62" s="572"/>
      <c r="AB62" s="572"/>
      <c r="AC62" s="572"/>
      <c r="AD62" s="572"/>
      <c r="AE62" s="572"/>
      <c r="AF62" s="572"/>
      <c r="AG62" s="572"/>
      <c r="AH62" s="572"/>
      <c r="AI62" s="572"/>
      <c r="AJ62" s="572"/>
      <c r="AK62" s="572"/>
      <c r="AL62" s="572"/>
      <c r="AM62" s="572"/>
      <c r="AN62" s="572"/>
      <c r="AO62" s="572"/>
      <c r="AP62" s="572"/>
      <c r="AQ62" s="572"/>
      <c r="AR62" s="572"/>
      <c r="AS62" s="572"/>
      <c r="AT62" s="572"/>
      <c r="AU62" s="572"/>
      <c r="AV62" s="572"/>
      <c r="AW62" s="572"/>
      <c r="AX62" s="572"/>
      <c r="AY62" s="572"/>
      <c r="AZ62" s="572"/>
      <c r="BA62" s="572"/>
      <c r="BB62" s="572"/>
    </row>
    <row r="63" spans="2:54" ht="18" x14ac:dyDescent="0.2">
      <c r="B63" s="572"/>
      <c r="C63" s="611"/>
      <c r="D63" s="611"/>
      <c r="E63" s="572"/>
      <c r="F63" s="572"/>
      <c r="G63" s="611"/>
      <c r="H63" s="611"/>
      <c r="I63" s="611"/>
      <c r="J63" s="572"/>
      <c r="K63" s="572"/>
      <c r="L63" s="611"/>
      <c r="M63" s="611"/>
      <c r="N63" s="611"/>
      <c r="O63" s="611"/>
      <c r="P63" s="572"/>
      <c r="Q63" s="572"/>
      <c r="R63" s="572"/>
      <c r="S63" s="572"/>
      <c r="T63" s="572"/>
      <c r="U63" s="572"/>
      <c r="V63" s="572"/>
      <c r="W63" s="572"/>
      <c r="X63" s="572"/>
      <c r="Y63" s="572"/>
      <c r="Z63" s="572"/>
      <c r="AA63" s="572"/>
      <c r="AB63" s="572"/>
      <c r="AC63" s="572"/>
      <c r="AD63" s="572"/>
      <c r="AE63" s="572"/>
      <c r="AF63" s="572"/>
      <c r="AG63" s="572"/>
      <c r="AH63" s="572"/>
      <c r="AI63" s="572"/>
      <c r="AJ63" s="572"/>
      <c r="AK63" s="572"/>
      <c r="AL63" s="572"/>
      <c r="AM63" s="572"/>
      <c r="AN63" s="572"/>
      <c r="AO63" s="572"/>
      <c r="AP63" s="572"/>
      <c r="AQ63" s="572"/>
      <c r="AR63" s="572"/>
      <c r="AS63" s="572"/>
      <c r="AT63" s="572"/>
      <c r="AU63" s="572"/>
      <c r="AV63" s="572"/>
      <c r="AW63" s="572"/>
      <c r="AX63" s="572"/>
      <c r="AY63" s="572"/>
      <c r="AZ63" s="572"/>
      <c r="BA63" s="572"/>
      <c r="BB63" s="572"/>
    </row>
    <row r="64" spans="2:54" ht="18" x14ac:dyDescent="0.2">
      <c r="B64" s="572"/>
      <c r="C64" s="611"/>
      <c r="D64" s="611"/>
      <c r="E64" s="572"/>
      <c r="F64" s="572"/>
      <c r="G64" s="611"/>
      <c r="H64" s="611"/>
      <c r="I64" s="611"/>
      <c r="J64" s="572"/>
      <c r="K64" s="572"/>
      <c r="L64" s="611"/>
      <c r="M64" s="611"/>
      <c r="N64" s="611"/>
      <c r="O64" s="611"/>
      <c r="P64" s="572"/>
      <c r="Q64" s="572"/>
      <c r="R64" s="572"/>
      <c r="S64" s="572"/>
      <c r="T64" s="572"/>
      <c r="U64" s="572"/>
      <c r="V64" s="572"/>
      <c r="W64" s="572"/>
      <c r="X64" s="572"/>
      <c r="Y64" s="572"/>
      <c r="Z64" s="572"/>
      <c r="AA64" s="572"/>
      <c r="AB64" s="572"/>
      <c r="AC64" s="572"/>
      <c r="AD64" s="572"/>
      <c r="AE64" s="572"/>
      <c r="AF64" s="572"/>
      <c r="AG64" s="572"/>
      <c r="AH64" s="572"/>
      <c r="AI64" s="572"/>
      <c r="AJ64" s="572"/>
      <c r="AK64" s="572"/>
      <c r="AL64" s="572"/>
      <c r="AM64" s="572"/>
      <c r="AN64" s="572"/>
      <c r="AO64" s="572"/>
      <c r="AP64" s="572"/>
      <c r="AQ64" s="572"/>
      <c r="AR64" s="572"/>
      <c r="AS64" s="572"/>
      <c r="AT64" s="572"/>
      <c r="AU64" s="572"/>
      <c r="AV64" s="572"/>
      <c r="AW64" s="572"/>
      <c r="AX64" s="572"/>
      <c r="AY64" s="572"/>
      <c r="AZ64" s="572"/>
      <c r="BA64" s="572"/>
      <c r="BB64" s="572"/>
    </row>
    <row r="65" spans="2:54" ht="18" x14ac:dyDescent="0.2">
      <c r="B65" s="572"/>
      <c r="C65" s="611"/>
      <c r="D65" s="611"/>
      <c r="E65" s="572"/>
      <c r="F65" s="572"/>
      <c r="G65" s="611"/>
      <c r="H65" s="611"/>
      <c r="I65" s="611"/>
      <c r="J65" s="572"/>
      <c r="K65" s="572"/>
      <c r="L65" s="611"/>
      <c r="M65" s="611"/>
      <c r="N65" s="611"/>
      <c r="O65" s="611"/>
      <c r="P65" s="572"/>
      <c r="Q65" s="572"/>
      <c r="R65" s="572"/>
      <c r="S65" s="572"/>
      <c r="T65" s="572"/>
      <c r="U65" s="572"/>
      <c r="V65" s="572"/>
      <c r="W65" s="572"/>
      <c r="X65" s="572"/>
      <c r="Y65" s="572"/>
      <c r="Z65" s="572"/>
      <c r="AA65" s="572"/>
      <c r="AB65" s="572"/>
      <c r="AC65" s="572"/>
      <c r="AD65" s="572"/>
      <c r="AE65" s="572"/>
      <c r="AF65" s="572"/>
      <c r="AG65" s="572"/>
      <c r="AH65" s="572"/>
      <c r="AI65" s="572"/>
      <c r="AJ65" s="572"/>
      <c r="AK65" s="572"/>
      <c r="AL65" s="572"/>
      <c r="AM65" s="572"/>
      <c r="AN65" s="572"/>
      <c r="AO65" s="572"/>
      <c r="AP65" s="572"/>
      <c r="AQ65" s="572"/>
      <c r="AR65" s="572"/>
      <c r="AS65" s="572"/>
      <c r="AT65" s="572"/>
      <c r="AU65" s="572"/>
      <c r="AV65" s="572"/>
      <c r="AW65" s="572"/>
      <c r="AX65" s="572"/>
      <c r="AY65" s="572"/>
      <c r="AZ65" s="572"/>
      <c r="BA65" s="572"/>
      <c r="BB65" s="572"/>
    </row>
    <row r="66" spans="2:54" ht="18" x14ac:dyDescent="0.2">
      <c r="B66" s="572"/>
      <c r="C66" s="611"/>
      <c r="D66" s="611"/>
      <c r="E66" s="572"/>
      <c r="F66" s="572"/>
      <c r="G66" s="611"/>
      <c r="H66" s="611"/>
      <c r="I66" s="611"/>
      <c r="J66" s="572"/>
      <c r="K66" s="572"/>
      <c r="L66" s="611"/>
      <c r="M66" s="611"/>
      <c r="N66" s="611"/>
      <c r="O66" s="611"/>
      <c r="P66" s="572"/>
      <c r="Q66" s="572"/>
      <c r="R66" s="572"/>
      <c r="S66" s="572"/>
      <c r="T66" s="572"/>
      <c r="U66" s="572"/>
      <c r="V66" s="572"/>
      <c r="W66" s="572"/>
      <c r="X66" s="572"/>
      <c r="Y66" s="572"/>
      <c r="Z66" s="572"/>
      <c r="AA66" s="572"/>
      <c r="AB66" s="572"/>
      <c r="AC66" s="572"/>
      <c r="AD66" s="572"/>
      <c r="AE66" s="572"/>
      <c r="AF66" s="572"/>
      <c r="AG66" s="572"/>
      <c r="AH66" s="572"/>
      <c r="AI66" s="572"/>
      <c r="AJ66" s="572"/>
      <c r="AK66" s="572"/>
      <c r="AL66" s="572"/>
      <c r="AM66" s="572"/>
      <c r="AN66" s="572"/>
      <c r="AO66" s="572"/>
      <c r="AP66" s="572"/>
      <c r="AQ66" s="572"/>
      <c r="AR66" s="572"/>
      <c r="AS66" s="572"/>
      <c r="AT66" s="572"/>
      <c r="AU66" s="572"/>
      <c r="AV66" s="572"/>
      <c r="AW66" s="572"/>
      <c r="AX66" s="572"/>
      <c r="AY66" s="572"/>
      <c r="AZ66" s="572"/>
      <c r="BA66" s="572"/>
      <c r="BB66" s="572"/>
    </row>
    <row r="67" spans="2:54" ht="18" x14ac:dyDescent="0.2">
      <c r="B67" s="572"/>
      <c r="C67" s="611"/>
      <c r="D67" s="611"/>
      <c r="E67" s="572"/>
      <c r="F67" s="572"/>
      <c r="G67" s="611"/>
      <c r="H67" s="611"/>
      <c r="I67" s="611"/>
      <c r="J67" s="572"/>
      <c r="K67" s="572"/>
      <c r="L67" s="611"/>
      <c r="M67" s="611"/>
      <c r="N67" s="611"/>
      <c r="O67" s="611"/>
      <c r="P67" s="572"/>
      <c r="Q67" s="572"/>
      <c r="R67" s="572"/>
      <c r="S67" s="572"/>
      <c r="T67" s="572"/>
      <c r="U67" s="572"/>
      <c r="V67" s="572"/>
      <c r="W67" s="572"/>
      <c r="X67" s="572"/>
      <c r="Y67" s="572"/>
      <c r="Z67" s="572"/>
      <c r="AA67" s="572"/>
      <c r="AB67" s="572"/>
      <c r="AC67" s="572"/>
      <c r="AD67" s="572"/>
      <c r="AE67" s="572"/>
      <c r="AF67" s="572"/>
      <c r="AG67" s="572"/>
      <c r="AH67" s="572"/>
      <c r="AI67" s="572"/>
      <c r="AJ67" s="572"/>
      <c r="AK67" s="572"/>
      <c r="AL67" s="572"/>
      <c r="AM67" s="572"/>
      <c r="AN67" s="572"/>
      <c r="AO67" s="572"/>
      <c r="AP67" s="572"/>
      <c r="AQ67" s="572"/>
      <c r="AR67" s="572"/>
      <c r="AS67" s="572"/>
      <c r="AT67" s="572"/>
      <c r="AU67" s="572"/>
      <c r="AV67" s="572"/>
      <c r="AW67" s="572"/>
      <c r="AX67" s="572"/>
      <c r="AY67" s="572"/>
      <c r="AZ67" s="572"/>
      <c r="BA67" s="572"/>
      <c r="BB67" s="572"/>
    </row>
    <row r="68" spans="2:54" ht="18" x14ac:dyDescent="0.2">
      <c r="B68" s="572"/>
      <c r="C68" s="611"/>
      <c r="D68" s="611"/>
      <c r="E68" s="572"/>
      <c r="F68" s="572"/>
      <c r="G68" s="611"/>
      <c r="H68" s="611"/>
      <c r="I68" s="611"/>
      <c r="J68" s="572"/>
      <c r="K68" s="572"/>
      <c r="L68" s="611"/>
      <c r="M68" s="611"/>
      <c r="N68" s="611"/>
      <c r="O68" s="611"/>
      <c r="P68" s="572"/>
      <c r="Q68" s="572"/>
      <c r="R68" s="572"/>
      <c r="S68" s="572"/>
      <c r="T68" s="572"/>
      <c r="U68" s="572"/>
      <c r="V68" s="572"/>
      <c r="W68" s="572"/>
      <c r="X68" s="572"/>
      <c r="Y68" s="572"/>
      <c r="Z68" s="572"/>
      <c r="AA68" s="572"/>
      <c r="AB68" s="572"/>
      <c r="AC68" s="572"/>
      <c r="AD68" s="572"/>
      <c r="AE68" s="572"/>
      <c r="AF68" s="572"/>
      <c r="AG68" s="572"/>
      <c r="AH68" s="572"/>
      <c r="AI68" s="572"/>
      <c r="AJ68" s="572"/>
      <c r="AK68" s="572"/>
      <c r="AL68" s="572"/>
      <c r="AM68" s="572"/>
      <c r="AN68" s="572"/>
      <c r="AO68" s="572"/>
      <c r="AP68" s="572"/>
      <c r="AQ68" s="572"/>
      <c r="AR68" s="572"/>
      <c r="AS68" s="572"/>
      <c r="AT68" s="572"/>
      <c r="AU68" s="572"/>
      <c r="AV68" s="572"/>
      <c r="AW68" s="572"/>
      <c r="AX68" s="572"/>
      <c r="AY68" s="572"/>
      <c r="AZ68" s="572"/>
      <c r="BA68" s="572"/>
      <c r="BB68" s="572"/>
    </row>
    <row r="69" spans="2:54" ht="18" x14ac:dyDescent="0.2">
      <c r="B69" s="572"/>
      <c r="C69" s="611"/>
      <c r="D69" s="611"/>
      <c r="E69" s="572"/>
      <c r="F69" s="572"/>
      <c r="G69" s="611"/>
      <c r="H69" s="611"/>
      <c r="I69" s="611"/>
      <c r="J69" s="572"/>
      <c r="K69" s="572"/>
      <c r="L69" s="611"/>
      <c r="M69" s="611"/>
      <c r="N69" s="611"/>
      <c r="O69" s="611"/>
      <c r="P69" s="572"/>
      <c r="Q69" s="572"/>
      <c r="R69" s="572"/>
      <c r="S69" s="572"/>
      <c r="T69" s="572"/>
      <c r="U69" s="572"/>
      <c r="V69" s="572"/>
      <c r="W69" s="572"/>
      <c r="X69" s="572"/>
      <c r="Y69" s="572"/>
      <c r="Z69" s="572"/>
      <c r="AA69" s="572"/>
      <c r="AB69" s="572"/>
      <c r="AC69" s="572"/>
      <c r="AD69" s="572"/>
      <c r="AE69" s="572"/>
      <c r="AF69" s="572"/>
      <c r="AG69" s="572"/>
      <c r="AH69" s="572"/>
      <c r="AI69" s="572"/>
      <c r="AJ69" s="572"/>
      <c r="AK69" s="572"/>
      <c r="AL69" s="572"/>
      <c r="AM69" s="572"/>
      <c r="AN69" s="572"/>
      <c r="AO69" s="572"/>
      <c r="AP69" s="572"/>
      <c r="AQ69" s="572"/>
      <c r="AR69" s="572"/>
      <c r="AS69" s="572"/>
      <c r="AT69" s="572"/>
      <c r="AU69" s="572"/>
      <c r="AV69" s="572"/>
      <c r="AW69" s="572"/>
      <c r="AX69" s="572"/>
      <c r="AY69" s="572"/>
      <c r="AZ69" s="572"/>
      <c r="BA69" s="572"/>
      <c r="BB69" s="572"/>
    </row>
    <row r="70" spans="2:54" ht="18" x14ac:dyDescent="0.2">
      <c r="B70" s="572"/>
      <c r="C70" s="611"/>
      <c r="D70" s="611"/>
      <c r="E70" s="572"/>
      <c r="F70" s="572"/>
      <c r="G70" s="611"/>
      <c r="H70" s="611"/>
      <c r="I70" s="611"/>
      <c r="J70" s="572"/>
      <c r="K70" s="572"/>
      <c r="L70" s="611"/>
      <c r="M70" s="611"/>
      <c r="N70" s="611"/>
      <c r="O70" s="611"/>
      <c r="P70" s="572"/>
      <c r="Q70" s="572"/>
      <c r="R70" s="572"/>
      <c r="S70" s="572"/>
      <c r="T70" s="572"/>
      <c r="U70" s="572"/>
      <c r="V70" s="572"/>
      <c r="W70" s="572"/>
      <c r="X70" s="572"/>
      <c r="Y70" s="572"/>
      <c r="Z70" s="572"/>
      <c r="AA70" s="572"/>
      <c r="AB70" s="572"/>
      <c r="AC70" s="572"/>
      <c r="AD70" s="572"/>
      <c r="AE70" s="572"/>
      <c r="AF70" s="572"/>
      <c r="AG70" s="572"/>
      <c r="AH70" s="572"/>
      <c r="AI70" s="572"/>
      <c r="AJ70" s="572"/>
      <c r="AK70" s="572"/>
      <c r="AL70" s="572"/>
      <c r="AM70" s="572"/>
      <c r="AN70" s="572"/>
      <c r="AO70" s="572"/>
      <c r="AP70" s="572"/>
      <c r="AQ70" s="572"/>
      <c r="AR70" s="572"/>
      <c r="AS70" s="572"/>
      <c r="AT70" s="572"/>
      <c r="AU70" s="572"/>
      <c r="AV70" s="572"/>
      <c r="AW70" s="572"/>
      <c r="AX70" s="572"/>
      <c r="AY70" s="572"/>
      <c r="AZ70" s="572"/>
      <c r="BA70" s="572"/>
      <c r="BB70" s="572"/>
    </row>
    <row r="71" spans="2:54" ht="18" x14ac:dyDescent="0.2">
      <c r="B71" s="572"/>
      <c r="C71" s="611"/>
      <c r="D71" s="611"/>
      <c r="E71" s="572"/>
      <c r="F71" s="572"/>
      <c r="G71" s="611"/>
      <c r="H71" s="611"/>
      <c r="I71" s="611"/>
      <c r="J71" s="572"/>
      <c r="K71" s="572"/>
      <c r="L71" s="611"/>
      <c r="M71" s="611"/>
      <c r="N71" s="611"/>
      <c r="O71" s="611"/>
      <c r="P71" s="572"/>
      <c r="Q71" s="572"/>
      <c r="R71" s="572"/>
      <c r="S71" s="572"/>
      <c r="T71" s="572"/>
      <c r="U71" s="572"/>
      <c r="V71" s="572"/>
      <c r="W71" s="572"/>
      <c r="X71" s="572"/>
      <c r="Y71" s="572"/>
      <c r="Z71" s="572"/>
      <c r="AA71" s="572"/>
      <c r="AB71" s="572"/>
      <c r="AC71" s="572"/>
      <c r="AD71" s="572"/>
      <c r="AE71" s="572"/>
      <c r="AF71" s="572"/>
      <c r="AG71" s="572"/>
      <c r="AH71" s="572"/>
      <c r="AI71" s="572"/>
      <c r="AJ71" s="572"/>
      <c r="AK71" s="572"/>
      <c r="AL71" s="572"/>
      <c r="AM71" s="572"/>
      <c r="AN71" s="572"/>
      <c r="AO71" s="572"/>
      <c r="AP71" s="572"/>
      <c r="AQ71" s="572"/>
      <c r="AR71" s="572"/>
      <c r="AS71" s="572"/>
      <c r="AT71" s="572"/>
      <c r="AU71" s="572"/>
      <c r="AV71" s="572"/>
      <c r="AW71" s="572"/>
      <c r="AX71" s="572"/>
      <c r="AY71" s="572"/>
      <c r="AZ71" s="572"/>
      <c r="BA71" s="572"/>
      <c r="BB71" s="572"/>
    </row>
    <row r="72" spans="2:54" ht="18" x14ac:dyDescent="0.2">
      <c r="B72" s="572"/>
      <c r="C72" s="611"/>
      <c r="D72" s="611"/>
      <c r="E72" s="572"/>
      <c r="F72" s="572"/>
      <c r="G72" s="611"/>
      <c r="H72" s="611"/>
      <c r="I72" s="611"/>
      <c r="J72" s="572"/>
      <c r="K72" s="572"/>
      <c r="L72" s="611"/>
      <c r="M72" s="611"/>
      <c r="N72" s="611"/>
      <c r="O72" s="611"/>
      <c r="P72" s="572"/>
      <c r="Q72" s="572"/>
      <c r="R72" s="572"/>
      <c r="S72" s="572"/>
      <c r="T72" s="572"/>
      <c r="U72" s="572"/>
      <c r="V72" s="572"/>
      <c r="W72" s="572"/>
      <c r="X72" s="572"/>
      <c r="Y72" s="572"/>
      <c r="Z72" s="572"/>
      <c r="AA72" s="572"/>
      <c r="AB72" s="572"/>
      <c r="AC72" s="572"/>
      <c r="AD72" s="572"/>
      <c r="AE72" s="572"/>
      <c r="AF72" s="572"/>
      <c r="AG72" s="572"/>
      <c r="AH72" s="572"/>
      <c r="AI72" s="572"/>
      <c r="AJ72" s="572"/>
      <c r="AK72" s="572"/>
      <c r="AL72" s="572"/>
      <c r="AM72" s="572"/>
      <c r="AN72" s="572"/>
      <c r="AO72" s="572"/>
      <c r="AP72" s="572"/>
      <c r="AQ72" s="572"/>
      <c r="AR72" s="572"/>
      <c r="AS72" s="572"/>
      <c r="AT72" s="572"/>
      <c r="AU72" s="572"/>
      <c r="AV72" s="572"/>
      <c r="AW72" s="572"/>
      <c r="AX72" s="572"/>
      <c r="AY72" s="572"/>
      <c r="AZ72" s="572"/>
      <c r="BA72" s="572"/>
      <c r="BB72" s="572"/>
    </row>
    <row r="73" spans="2:54" ht="18" x14ac:dyDescent="0.2">
      <c r="B73" s="572"/>
      <c r="C73" s="611"/>
      <c r="D73" s="611"/>
      <c r="E73" s="572"/>
      <c r="F73" s="572"/>
      <c r="G73" s="611"/>
      <c r="H73" s="611"/>
      <c r="I73" s="611"/>
      <c r="J73" s="572"/>
      <c r="K73" s="572"/>
      <c r="L73" s="611"/>
      <c r="M73" s="611"/>
      <c r="N73" s="611"/>
      <c r="O73" s="611"/>
      <c r="P73" s="572"/>
      <c r="Q73" s="572"/>
      <c r="R73" s="572"/>
      <c r="S73" s="572"/>
      <c r="T73" s="572"/>
      <c r="U73" s="572"/>
      <c r="V73" s="572"/>
      <c r="W73" s="572"/>
      <c r="X73" s="572"/>
      <c r="Y73" s="572"/>
      <c r="Z73" s="572"/>
      <c r="AA73" s="572"/>
      <c r="AB73" s="572"/>
      <c r="AC73" s="572"/>
      <c r="AD73" s="572"/>
      <c r="AE73" s="572"/>
      <c r="AF73" s="572"/>
      <c r="AG73" s="572"/>
      <c r="AH73" s="572"/>
      <c r="AI73" s="572"/>
      <c r="AJ73" s="572"/>
      <c r="AK73" s="572"/>
      <c r="AL73" s="572"/>
      <c r="AM73" s="572"/>
      <c r="AN73" s="572"/>
      <c r="AO73" s="572"/>
      <c r="AP73" s="572"/>
      <c r="AQ73" s="572"/>
      <c r="AR73" s="572"/>
      <c r="AS73" s="572"/>
      <c r="AT73" s="572"/>
      <c r="AU73" s="572"/>
      <c r="AV73" s="572"/>
      <c r="AW73" s="572"/>
      <c r="AX73" s="572"/>
      <c r="AY73" s="572"/>
      <c r="AZ73" s="572"/>
      <c r="BA73" s="572"/>
      <c r="BB73" s="572"/>
    </row>
    <row r="74" spans="2:54" ht="18" x14ac:dyDescent="0.2">
      <c r="B74" s="572"/>
      <c r="C74" s="611"/>
      <c r="D74" s="611"/>
      <c r="E74" s="572"/>
      <c r="F74" s="572"/>
      <c r="G74" s="611"/>
      <c r="H74" s="611"/>
      <c r="I74" s="611"/>
      <c r="J74" s="572"/>
      <c r="K74" s="572"/>
      <c r="L74" s="611"/>
      <c r="M74" s="611"/>
      <c r="N74" s="611"/>
      <c r="O74" s="611"/>
      <c r="P74" s="572"/>
      <c r="Q74" s="572"/>
      <c r="R74" s="572"/>
      <c r="S74" s="572"/>
      <c r="T74" s="572"/>
      <c r="U74" s="572"/>
      <c r="V74" s="572"/>
      <c r="W74" s="572"/>
      <c r="X74" s="572"/>
      <c r="Y74" s="572"/>
      <c r="Z74" s="572"/>
      <c r="AA74" s="572"/>
      <c r="AB74" s="572"/>
      <c r="AC74" s="572"/>
      <c r="AD74" s="572"/>
      <c r="AE74" s="572"/>
      <c r="AF74" s="572"/>
      <c r="AG74" s="572"/>
      <c r="AH74" s="572"/>
      <c r="AI74" s="572"/>
      <c r="AJ74" s="572"/>
      <c r="AK74" s="572"/>
      <c r="AL74" s="572"/>
      <c r="AM74" s="572"/>
      <c r="AN74" s="572"/>
      <c r="AO74" s="572"/>
      <c r="AP74" s="572"/>
      <c r="AQ74" s="572"/>
      <c r="AR74" s="572"/>
      <c r="AS74" s="572"/>
      <c r="AT74" s="572"/>
      <c r="AU74" s="572"/>
      <c r="AV74" s="572"/>
      <c r="AW74" s="572"/>
      <c r="AX74" s="572"/>
      <c r="AY74" s="572"/>
      <c r="AZ74" s="572"/>
      <c r="BA74" s="572"/>
      <c r="BB74" s="572"/>
    </row>
    <row r="75" spans="2:54" ht="18" x14ac:dyDescent="0.2">
      <c r="B75" s="572"/>
      <c r="C75" s="611"/>
      <c r="D75" s="611"/>
      <c r="E75" s="572"/>
      <c r="F75" s="572"/>
      <c r="G75" s="611"/>
      <c r="H75" s="611"/>
      <c r="I75" s="611"/>
      <c r="J75" s="572"/>
      <c r="K75" s="572"/>
      <c r="L75" s="611"/>
      <c r="M75" s="611"/>
      <c r="N75" s="611"/>
      <c r="O75" s="611"/>
      <c r="P75" s="572"/>
      <c r="Q75" s="572"/>
      <c r="R75" s="572"/>
      <c r="S75" s="572"/>
      <c r="T75" s="572"/>
      <c r="U75" s="572"/>
      <c r="V75" s="572"/>
      <c r="W75" s="572"/>
      <c r="X75" s="572"/>
      <c r="Y75" s="572"/>
      <c r="Z75" s="572"/>
      <c r="AA75" s="572"/>
      <c r="AB75" s="572"/>
      <c r="AC75" s="572"/>
      <c r="AD75" s="572"/>
      <c r="AE75" s="572"/>
      <c r="AF75" s="572"/>
      <c r="AG75" s="572"/>
      <c r="AH75" s="572"/>
      <c r="AI75" s="572"/>
      <c r="AJ75" s="572"/>
      <c r="AK75" s="572"/>
      <c r="AL75" s="572"/>
      <c r="AM75" s="572"/>
      <c r="AN75" s="572"/>
      <c r="AO75" s="572"/>
      <c r="AP75" s="572"/>
      <c r="AQ75" s="572"/>
      <c r="AR75" s="572"/>
      <c r="AS75" s="572"/>
      <c r="AT75" s="572"/>
      <c r="AU75" s="572"/>
      <c r="AV75" s="572"/>
      <c r="AW75" s="572"/>
      <c r="AX75" s="572"/>
      <c r="AY75" s="572"/>
      <c r="AZ75" s="572"/>
      <c r="BA75" s="572"/>
      <c r="BB75" s="572"/>
    </row>
    <row r="76" spans="2:54" ht="18" x14ac:dyDescent="0.2">
      <c r="B76" s="572"/>
      <c r="C76" s="611"/>
      <c r="D76" s="611"/>
      <c r="E76" s="572"/>
      <c r="F76" s="572"/>
      <c r="G76" s="611"/>
      <c r="H76" s="611"/>
      <c r="I76" s="611"/>
      <c r="J76" s="572"/>
      <c r="K76" s="572"/>
      <c r="L76" s="611"/>
      <c r="M76" s="611"/>
      <c r="N76" s="611"/>
      <c r="O76" s="611"/>
      <c r="P76" s="572"/>
      <c r="Q76" s="572"/>
      <c r="R76" s="572"/>
      <c r="S76" s="572"/>
      <c r="T76" s="572"/>
      <c r="U76" s="572"/>
      <c r="V76" s="572"/>
      <c r="W76" s="572"/>
      <c r="X76" s="572"/>
      <c r="Y76" s="572"/>
      <c r="Z76" s="572"/>
      <c r="AA76" s="572"/>
      <c r="AB76" s="572"/>
      <c r="AC76" s="572"/>
      <c r="AD76" s="572"/>
      <c r="AE76" s="572"/>
      <c r="AF76" s="572"/>
      <c r="AG76" s="572"/>
      <c r="AH76" s="572"/>
      <c r="AI76" s="572"/>
      <c r="AJ76" s="572"/>
      <c r="AK76" s="572"/>
      <c r="AL76" s="572"/>
      <c r="AM76" s="572"/>
      <c r="AN76" s="572"/>
      <c r="AO76" s="572"/>
      <c r="AP76" s="572"/>
      <c r="AQ76" s="572"/>
      <c r="AR76" s="572"/>
      <c r="AS76" s="572"/>
      <c r="AT76" s="572"/>
      <c r="AU76" s="572"/>
      <c r="AV76" s="572"/>
      <c r="AW76" s="572"/>
      <c r="AX76" s="572"/>
      <c r="AY76" s="572"/>
      <c r="AZ76" s="572"/>
      <c r="BA76" s="572"/>
      <c r="BB76" s="572"/>
    </row>
    <row r="77" spans="2:54" ht="18" x14ac:dyDescent="0.2">
      <c r="B77" s="572"/>
      <c r="C77" s="611"/>
      <c r="D77" s="611"/>
      <c r="E77" s="572"/>
      <c r="F77" s="572"/>
      <c r="G77" s="611"/>
      <c r="H77" s="611"/>
      <c r="I77" s="611"/>
      <c r="J77" s="572"/>
      <c r="K77" s="572"/>
      <c r="L77" s="611"/>
      <c r="M77" s="611"/>
      <c r="N77" s="611"/>
      <c r="O77" s="611"/>
      <c r="P77" s="572"/>
      <c r="Q77" s="572"/>
      <c r="R77" s="572"/>
      <c r="S77" s="572"/>
      <c r="T77" s="572"/>
      <c r="U77" s="572"/>
      <c r="V77" s="572"/>
      <c r="W77" s="572"/>
      <c r="X77" s="572"/>
      <c r="Y77" s="572"/>
      <c r="Z77" s="572"/>
      <c r="AA77" s="572"/>
      <c r="AB77" s="572"/>
      <c r="AC77" s="572"/>
      <c r="AD77" s="572"/>
      <c r="AE77" s="572"/>
      <c r="AF77" s="572"/>
      <c r="AG77" s="572"/>
      <c r="AH77" s="572"/>
      <c r="AI77" s="572"/>
      <c r="AJ77" s="572"/>
      <c r="AK77" s="572"/>
      <c r="AL77" s="572"/>
      <c r="AM77" s="572"/>
      <c r="AN77" s="572"/>
      <c r="AO77" s="572"/>
      <c r="AP77" s="572"/>
      <c r="AQ77" s="572"/>
      <c r="AR77" s="572"/>
      <c r="AS77" s="572"/>
      <c r="AT77" s="572"/>
      <c r="AU77" s="572"/>
      <c r="AV77" s="572"/>
      <c r="AW77" s="572"/>
      <c r="AX77" s="572"/>
      <c r="AY77" s="572"/>
      <c r="AZ77" s="572"/>
      <c r="BA77" s="572"/>
      <c r="BB77" s="572"/>
    </row>
    <row r="78" spans="2:54" ht="18" x14ac:dyDescent="0.2">
      <c r="B78" s="572"/>
      <c r="C78" s="611"/>
      <c r="D78" s="611"/>
      <c r="E78" s="572"/>
      <c r="F78" s="572"/>
      <c r="G78" s="611"/>
      <c r="H78" s="611"/>
      <c r="I78" s="611"/>
      <c r="J78" s="572"/>
      <c r="K78" s="572"/>
      <c r="L78" s="611"/>
      <c r="M78" s="611"/>
      <c r="N78" s="611"/>
      <c r="O78" s="611"/>
      <c r="P78" s="572"/>
      <c r="Q78" s="572"/>
      <c r="R78" s="572"/>
      <c r="S78" s="572"/>
      <c r="T78" s="572"/>
      <c r="U78" s="572"/>
      <c r="V78" s="572"/>
      <c r="W78" s="572"/>
      <c r="X78" s="572"/>
      <c r="Y78" s="572"/>
      <c r="Z78" s="572"/>
      <c r="AA78" s="572"/>
      <c r="AB78" s="572"/>
      <c r="AC78" s="572"/>
      <c r="AD78" s="572"/>
      <c r="AE78" s="572"/>
      <c r="AF78" s="572"/>
      <c r="AG78" s="572"/>
      <c r="AH78" s="572"/>
      <c r="AI78" s="572"/>
      <c r="AJ78" s="572"/>
      <c r="AK78" s="572"/>
      <c r="AL78" s="572"/>
      <c r="AM78" s="572"/>
      <c r="AN78" s="572"/>
      <c r="AO78" s="572"/>
      <c r="AP78" s="572"/>
      <c r="AQ78" s="572"/>
      <c r="AR78" s="572"/>
      <c r="AS78" s="572"/>
      <c r="AT78" s="572"/>
      <c r="AU78" s="572"/>
      <c r="AV78" s="572"/>
      <c r="AW78" s="572"/>
      <c r="AX78" s="572"/>
      <c r="AY78" s="572"/>
      <c r="AZ78" s="572"/>
      <c r="BA78" s="572"/>
      <c r="BB78" s="572"/>
    </row>
    <row r="79" spans="2:54" ht="18" x14ac:dyDescent="0.2">
      <c r="B79" s="572"/>
      <c r="C79" s="611"/>
      <c r="D79" s="611"/>
      <c r="E79" s="572"/>
      <c r="F79" s="572"/>
      <c r="G79" s="611"/>
      <c r="H79" s="611"/>
      <c r="I79" s="611"/>
      <c r="J79" s="572"/>
      <c r="K79" s="572"/>
      <c r="L79" s="611"/>
      <c r="M79" s="611"/>
      <c r="N79" s="611"/>
      <c r="O79" s="611"/>
      <c r="P79" s="572"/>
      <c r="Q79" s="572"/>
      <c r="R79" s="572"/>
      <c r="S79" s="572"/>
      <c r="T79" s="572"/>
      <c r="U79" s="572"/>
      <c r="V79" s="572"/>
      <c r="W79" s="572"/>
      <c r="X79" s="572"/>
      <c r="Y79" s="572"/>
      <c r="Z79" s="572"/>
      <c r="AA79" s="572"/>
      <c r="AB79" s="572"/>
      <c r="AC79" s="572"/>
      <c r="AD79" s="572"/>
      <c r="AE79" s="572"/>
      <c r="AF79" s="572"/>
      <c r="AG79" s="572"/>
      <c r="AH79" s="572"/>
      <c r="AI79" s="572"/>
      <c r="AJ79" s="572"/>
      <c r="AK79" s="572"/>
      <c r="AL79" s="572"/>
      <c r="AM79" s="572"/>
      <c r="AN79" s="572"/>
      <c r="AO79" s="572"/>
      <c r="AP79" s="572"/>
      <c r="AQ79" s="572"/>
      <c r="AR79" s="572"/>
      <c r="AS79" s="572"/>
      <c r="AT79" s="572"/>
      <c r="AU79" s="572"/>
      <c r="AV79" s="572"/>
      <c r="AW79" s="572"/>
      <c r="AX79" s="572"/>
      <c r="AY79" s="572"/>
      <c r="AZ79" s="572"/>
      <c r="BA79" s="572"/>
      <c r="BB79" s="572"/>
    </row>
    <row r="80" spans="2:54" ht="18" x14ac:dyDescent="0.2">
      <c r="B80" s="572"/>
      <c r="C80" s="611"/>
      <c r="D80" s="611"/>
      <c r="E80" s="572"/>
      <c r="F80" s="572"/>
      <c r="G80" s="611"/>
      <c r="H80" s="611"/>
      <c r="I80" s="611"/>
      <c r="J80" s="572"/>
      <c r="K80" s="572"/>
      <c r="L80" s="611"/>
      <c r="M80" s="611"/>
      <c r="N80" s="611"/>
      <c r="O80" s="611"/>
      <c r="P80" s="572"/>
      <c r="Q80" s="572"/>
      <c r="R80" s="572"/>
      <c r="S80" s="572"/>
      <c r="T80" s="572"/>
      <c r="U80" s="572"/>
      <c r="V80" s="572"/>
      <c r="W80" s="572"/>
      <c r="X80" s="572"/>
      <c r="Y80" s="572"/>
      <c r="Z80" s="572"/>
      <c r="AA80" s="572"/>
      <c r="AB80" s="572"/>
      <c r="AC80" s="572"/>
      <c r="AD80" s="572"/>
      <c r="AE80" s="572"/>
      <c r="AF80" s="572"/>
      <c r="AG80" s="572"/>
      <c r="AH80" s="572"/>
      <c r="AI80" s="572"/>
      <c r="AJ80" s="572"/>
      <c r="AK80" s="572"/>
      <c r="AL80" s="572"/>
      <c r="AM80" s="572"/>
      <c r="AN80" s="572"/>
      <c r="AO80" s="572"/>
      <c r="AP80" s="572"/>
      <c r="AQ80" s="572"/>
      <c r="AR80" s="572"/>
      <c r="AS80" s="572"/>
      <c r="AT80" s="572"/>
      <c r="AU80" s="572"/>
      <c r="AV80" s="572"/>
      <c r="AW80" s="572"/>
      <c r="AX80" s="572"/>
      <c r="AY80" s="572"/>
      <c r="AZ80" s="572"/>
      <c r="BA80" s="572"/>
      <c r="BB80" s="572"/>
    </row>
    <row r="81" spans="2:54" ht="18" x14ac:dyDescent="0.2">
      <c r="B81" s="572"/>
      <c r="C81" s="611"/>
      <c r="D81" s="611"/>
      <c r="E81" s="572"/>
      <c r="F81" s="572"/>
      <c r="G81" s="611"/>
      <c r="H81" s="611"/>
      <c r="I81" s="611"/>
      <c r="J81" s="572"/>
      <c r="K81" s="572"/>
      <c r="L81" s="611"/>
      <c r="M81" s="611"/>
      <c r="N81" s="611"/>
      <c r="O81" s="611"/>
      <c r="P81" s="572"/>
      <c r="Q81" s="572"/>
      <c r="R81" s="572"/>
      <c r="S81" s="572"/>
      <c r="T81" s="572"/>
      <c r="U81" s="572"/>
      <c r="V81" s="572"/>
      <c r="W81" s="572"/>
      <c r="X81" s="572"/>
      <c r="Y81" s="572"/>
      <c r="Z81" s="572"/>
      <c r="AA81" s="572"/>
      <c r="AB81" s="572"/>
      <c r="AC81" s="572"/>
      <c r="AD81" s="572"/>
      <c r="AE81" s="572"/>
      <c r="AF81" s="572"/>
      <c r="AG81" s="572"/>
      <c r="AH81" s="572"/>
      <c r="AI81" s="572"/>
      <c r="AJ81" s="572"/>
      <c r="AK81" s="572"/>
      <c r="AL81" s="572"/>
      <c r="AM81" s="572"/>
      <c r="AN81" s="572"/>
      <c r="AO81" s="572"/>
      <c r="AP81" s="572"/>
      <c r="AQ81" s="572"/>
      <c r="AR81" s="572"/>
      <c r="AS81" s="572"/>
      <c r="AT81" s="572"/>
      <c r="AU81" s="572"/>
      <c r="AV81" s="572"/>
      <c r="AW81" s="572"/>
      <c r="AX81" s="572"/>
      <c r="AY81" s="572"/>
      <c r="AZ81" s="572"/>
      <c r="BA81" s="572"/>
      <c r="BB81" s="572"/>
    </row>
    <row r="82" spans="2:54" ht="18" x14ac:dyDescent="0.2">
      <c r="B82" s="572"/>
      <c r="C82" s="611"/>
      <c r="D82" s="611"/>
      <c r="E82" s="572"/>
      <c r="F82" s="572"/>
      <c r="G82" s="611"/>
      <c r="H82" s="611"/>
      <c r="I82" s="611"/>
      <c r="J82" s="572"/>
      <c r="K82" s="572"/>
      <c r="L82" s="611"/>
      <c r="M82" s="611"/>
      <c r="N82" s="611"/>
      <c r="O82" s="611"/>
      <c r="P82" s="572"/>
      <c r="Q82" s="572"/>
      <c r="R82" s="572"/>
      <c r="S82" s="572"/>
      <c r="T82" s="572"/>
      <c r="U82" s="572"/>
      <c r="V82" s="572"/>
      <c r="W82" s="572"/>
      <c r="X82" s="572"/>
      <c r="Y82" s="572"/>
      <c r="Z82" s="572"/>
      <c r="AA82" s="572"/>
      <c r="AB82" s="572"/>
      <c r="AC82" s="572"/>
      <c r="AD82" s="572"/>
      <c r="AE82" s="572"/>
      <c r="AF82" s="572"/>
      <c r="AG82" s="572"/>
      <c r="AH82" s="572"/>
      <c r="AI82" s="572"/>
      <c r="AJ82" s="572"/>
      <c r="AK82" s="572"/>
      <c r="AL82" s="572"/>
      <c r="AM82" s="572"/>
      <c r="AN82" s="572"/>
      <c r="AO82" s="572"/>
      <c r="AP82" s="572"/>
      <c r="AQ82" s="572"/>
      <c r="AR82" s="572"/>
      <c r="AS82" s="572"/>
      <c r="AT82" s="572"/>
      <c r="AU82" s="572"/>
      <c r="AV82" s="572"/>
      <c r="AW82" s="572"/>
      <c r="AX82" s="572"/>
      <c r="AY82" s="572"/>
      <c r="AZ82" s="572"/>
      <c r="BA82" s="572"/>
      <c r="BB82" s="572"/>
    </row>
    <row r="83" spans="2:54" ht="18" x14ac:dyDescent="0.2">
      <c r="B83" s="572"/>
      <c r="C83" s="611"/>
      <c r="D83" s="611"/>
      <c r="E83" s="572"/>
      <c r="F83" s="572"/>
      <c r="G83" s="611"/>
      <c r="H83" s="611"/>
      <c r="I83" s="611"/>
      <c r="J83" s="572"/>
      <c r="K83" s="572"/>
      <c r="L83" s="611"/>
      <c r="M83" s="611"/>
      <c r="N83" s="611"/>
      <c r="O83" s="611"/>
      <c r="P83" s="572"/>
      <c r="Q83" s="572"/>
      <c r="R83" s="572"/>
      <c r="S83" s="572"/>
      <c r="T83" s="572"/>
      <c r="U83" s="572"/>
      <c r="V83" s="572"/>
      <c r="W83" s="572"/>
      <c r="X83" s="572"/>
      <c r="Y83" s="572"/>
      <c r="Z83" s="572"/>
      <c r="AA83" s="572"/>
      <c r="AB83" s="572"/>
      <c r="AC83" s="572"/>
      <c r="AD83" s="572"/>
      <c r="AE83" s="572"/>
      <c r="AF83" s="572"/>
      <c r="AG83" s="572"/>
      <c r="AH83" s="572"/>
      <c r="AI83" s="572"/>
      <c r="AJ83" s="572"/>
      <c r="AK83" s="572"/>
      <c r="AL83" s="572"/>
      <c r="AM83" s="572"/>
      <c r="AN83" s="572"/>
      <c r="AO83" s="572"/>
      <c r="AP83" s="572"/>
      <c r="AQ83" s="572"/>
      <c r="AR83" s="572"/>
      <c r="AS83" s="572"/>
      <c r="AT83" s="572"/>
      <c r="AU83" s="572"/>
      <c r="AV83" s="572"/>
      <c r="AW83" s="572"/>
      <c r="AX83" s="572"/>
      <c r="AY83" s="572"/>
      <c r="AZ83" s="572"/>
      <c r="BA83" s="572"/>
      <c r="BB83" s="572"/>
    </row>
    <row r="84" spans="2:54" ht="18" x14ac:dyDescent="0.2">
      <c r="B84" s="572"/>
      <c r="C84" s="611"/>
      <c r="D84" s="611"/>
      <c r="E84" s="572"/>
      <c r="F84" s="572"/>
      <c r="G84" s="611"/>
      <c r="H84" s="611"/>
      <c r="I84" s="611"/>
      <c r="J84" s="572"/>
      <c r="K84" s="572"/>
      <c r="L84" s="611"/>
      <c r="M84" s="611"/>
      <c r="N84" s="611"/>
      <c r="O84" s="611"/>
      <c r="P84" s="572"/>
      <c r="Q84" s="572"/>
      <c r="R84" s="572"/>
      <c r="S84" s="572"/>
      <c r="T84" s="572"/>
      <c r="U84" s="572"/>
      <c r="V84" s="572"/>
      <c r="W84" s="572"/>
      <c r="X84" s="572"/>
      <c r="Y84" s="572"/>
      <c r="Z84" s="572"/>
      <c r="AA84" s="572"/>
      <c r="AB84" s="572"/>
      <c r="AC84" s="572"/>
      <c r="AD84" s="572"/>
      <c r="AE84" s="572"/>
      <c r="AF84" s="572"/>
      <c r="AG84" s="572"/>
      <c r="AH84" s="572"/>
      <c r="AI84" s="572"/>
      <c r="AJ84" s="572"/>
      <c r="AK84" s="572"/>
      <c r="AL84" s="572"/>
      <c r="AM84" s="572"/>
      <c r="AN84" s="572"/>
      <c r="AO84" s="572"/>
      <c r="AP84" s="572"/>
      <c r="AQ84" s="572"/>
      <c r="AR84" s="572"/>
      <c r="AS84" s="572"/>
      <c r="AT84" s="572"/>
      <c r="AU84" s="572"/>
      <c r="AV84" s="572"/>
      <c r="AW84" s="572"/>
      <c r="AX84" s="572"/>
      <c r="AY84" s="572"/>
      <c r="AZ84" s="572"/>
      <c r="BA84" s="572"/>
      <c r="BB84" s="572"/>
    </row>
    <row r="85" spans="2:54" ht="18" x14ac:dyDescent="0.2">
      <c r="B85" s="572"/>
      <c r="C85" s="611"/>
      <c r="D85" s="611"/>
      <c r="E85" s="572"/>
      <c r="F85" s="572"/>
      <c r="G85" s="611"/>
      <c r="H85" s="611"/>
      <c r="I85" s="611"/>
      <c r="J85" s="572"/>
      <c r="K85" s="572"/>
      <c r="L85" s="611"/>
      <c r="M85" s="611"/>
      <c r="N85" s="611"/>
      <c r="O85" s="611"/>
      <c r="P85" s="572"/>
      <c r="Q85" s="572"/>
      <c r="R85" s="572"/>
      <c r="S85" s="572"/>
      <c r="T85" s="572"/>
      <c r="U85" s="572"/>
      <c r="V85" s="572"/>
      <c r="W85" s="572"/>
      <c r="X85" s="572"/>
      <c r="Y85" s="572"/>
      <c r="Z85" s="572"/>
      <c r="AA85" s="572"/>
      <c r="AB85" s="572"/>
      <c r="AC85" s="572"/>
      <c r="AD85" s="572"/>
      <c r="AE85" s="572"/>
      <c r="AF85" s="572"/>
      <c r="AG85" s="572"/>
      <c r="AH85" s="572"/>
      <c r="AI85" s="572"/>
      <c r="AJ85" s="572"/>
      <c r="AK85" s="572"/>
      <c r="AL85" s="572"/>
      <c r="AM85" s="572"/>
      <c r="AN85" s="572"/>
      <c r="AO85" s="572"/>
      <c r="AP85" s="572"/>
      <c r="AQ85" s="572"/>
      <c r="AR85" s="572"/>
      <c r="AS85" s="572"/>
      <c r="AT85" s="572"/>
      <c r="AU85" s="572"/>
      <c r="AV85" s="572"/>
      <c r="AW85" s="572"/>
      <c r="AX85" s="572"/>
      <c r="AY85" s="572"/>
      <c r="AZ85" s="572"/>
      <c r="BA85" s="572"/>
      <c r="BB85" s="572"/>
    </row>
    <row r="86" spans="2:54" ht="18" x14ac:dyDescent="0.2">
      <c r="B86" s="572"/>
      <c r="C86" s="611"/>
      <c r="D86" s="611"/>
      <c r="E86" s="572"/>
      <c r="F86" s="572"/>
      <c r="G86" s="611"/>
      <c r="H86" s="611"/>
      <c r="I86" s="611"/>
      <c r="J86" s="572"/>
      <c r="K86" s="572"/>
      <c r="L86" s="611"/>
      <c r="M86" s="611"/>
      <c r="N86" s="611"/>
      <c r="O86" s="611"/>
      <c r="P86" s="572"/>
      <c r="Q86" s="572"/>
      <c r="R86" s="572"/>
      <c r="S86" s="572"/>
      <c r="T86" s="572"/>
      <c r="U86" s="572"/>
      <c r="V86" s="572"/>
      <c r="W86" s="572"/>
      <c r="X86" s="572"/>
      <c r="Y86" s="572"/>
      <c r="Z86" s="572"/>
      <c r="AA86" s="572"/>
      <c r="AB86" s="572"/>
      <c r="AC86" s="572"/>
      <c r="AD86" s="572"/>
      <c r="AE86" s="572"/>
      <c r="AF86" s="572"/>
      <c r="AG86" s="572"/>
      <c r="AH86" s="572"/>
      <c r="AI86" s="572"/>
      <c r="AJ86" s="572"/>
      <c r="AK86" s="572"/>
      <c r="AL86" s="572"/>
      <c r="AM86" s="572"/>
      <c r="AN86" s="572"/>
      <c r="AO86" s="572"/>
      <c r="AP86" s="572"/>
      <c r="AQ86" s="572"/>
      <c r="AR86" s="572"/>
      <c r="AS86" s="572"/>
      <c r="AT86" s="572"/>
      <c r="AU86" s="572"/>
      <c r="AV86" s="572"/>
      <c r="AW86" s="572"/>
      <c r="AX86" s="572"/>
      <c r="AY86" s="572"/>
      <c r="AZ86" s="572"/>
      <c r="BA86" s="572"/>
      <c r="BB86" s="572"/>
    </row>
    <row r="87" spans="2:54" ht="18" x14ac:dyDescent="0.2">
      <c r="B87" s="572"/>
      <c r="C87" s="611"/>
      <c r="D87" s="611"/>
      <c r="E87" s="572"/>
      <c r="F87" s="572"/>
      <c r="G87" s="611"/>
      <c r="H87" s="611"/>
      <c r="I87" s="611"/>
      <c r="J87" s="572"/>
      <c r="K87" s="572"/>
      <c r="L87" s="611"/>
      <c r="M87" s="611"/>
      <c r="N87" s="611"/>
      <c r="O87" s="611"/>
      <c r="P87" s="572"/>
      <c r="Q87" s="572"/>
      <c r="R87" s="572"/>
      <c r="S87" s="572"/>
      <c r="T87" s="572"/>
      <c r="U87" s="572"/>
      <c r="V87" s="572"/>
      <c r="W87" s="572"/>
      <c r="X87" s="572"/>
      <c r="Y87" s="572"/>
      <c r="Z87" s="572"/>
      <c r="AA87" s="572"/>
      <c r="AB87" s="572"/>
      <c r="AC87" s="572"/>
      <c r="AD87" s="572"/>
      <c r="AE87" s="572"/>
      <c r="AF87" s="572"/>
      <c r="AG87" s="572"/>
      <c r="AH87" s="572"/>
      <c r="AI87" s="572"/>
      <c r="AJ87" s="572"/>
      <c r="AK87" s="572"/>
      <c r="AL87" s="572"/>
      <c r="AM87" s="572"/>
      <c r="AN87" s="572"/>
      <c r="AO87" s="572"/>
      <c r="AP87" s="572"/>
      <c r="AQ87" s="572"/>
      <c r="AR87" s="572"/>
      <c r="AS87" s="572"/>
      <c r="AT87" s="572"/>
      <c r="AU87" s="572"/>
      <c r="AV87" s="572"/>
      <c r="AW87" s="572"/>
      <c r="AX87" s="572"/>
      <c r="AY87" s="572"/>
      <c r="AZ87" s="572"/>
      <c r="BA87" s="572"/>
      <c r="BB87" s="572"/>
    </row>
    <row r="88" spans="2:54" ht="18" x14ac:dyDescent="0.2">
      <c r="B88" s="572"/>
      <c r="C88" s="611"/>
      <c r="D88" s="611"/>
      <c r="E88" s="572"/>
      <c r="F88" s="572"/>
      <c r="G88" s="611"/>
      <c r="H88" s="611"/>
      <c r="I88" s="611"/>
      <c r="J88" s="572"/>
      <c r="K88" s="572"/>
      <c r="L88" s="611"/>
      <c r="M88" s="611"/>
      <c r="N88" s="611"/>
      <c r="O88" s="611"/>
      <c r="P88" s="572"/>
      <c r="Q88" s="572"/>
      <c r="R88" s="572"/>
      <c r="S88" s="572"/>
      <c r="T88" s="572"/>
      <c r="U88" s="572"/>
      <c r="V88" s="572"/>
      <c r="W88" s="572"/>
      <c r="X88" s="572"/>
      <c r="Y88" s="572"/>
      <c r="Z88" s="572"/>
      <c r="AA88" s="572"/>
      <c r="AB88" s="572"/>
      <c r="AC88" s="572"/>
      <c r="AD88" s="572"/>
      <c r="AE88" s="572"/>
      <c r="AF88" s="572"/>
      <c r="AG88" s="572"/>
      <c r="AH88" s="572"/>
      <c r="AI88" s="572"/>
      <c r="AJ88" s="572"/>
      <c r="AK88" s="572"/>
      <c r="AL88" s="572"/>
      <c r="AM88" s="572"/>
      <c r="AN88" s="572"/>
      <c r="AO88" s="572"/>
      <c r="AP88" s="572"/>
      <c r="AQ88" s="572"/>
      <c r="AR88" s="572"/>
      <c r="AS88" s="572"/>
      <c r="AT88" s="572"/>
      <c r="AU88" s="572"/>
      <c r="AV88" s="572"/>
      <c r="AW88" s="572"/>
      <c r="AX88" s="572"/>
      <c r="AY88" s="572"/>
      <c r="AZ88" s="572"/>
      <c r="BA88" s="572"/>
      <c r="BB88" s="572"/>
    </row>
    <row r="89" spans="2:54" ht="18" x14ac:dyDescent="0.2">
      <c r="B89" s="572"/>
      <c r="C89" s="611"/>
      <c r="D89" s="611"/>
      <c r="E89" s="572"/>
      <c r="F89" s="572"/>
      <c r="G89" s="611"/>
      <c r="H89" s="611"/>
      <c r="I89" s="611"/>
      <c r="J89" s="572"/>
      <c r="K89" s="572"/>
      <c r="L89" s="611"/>
      <c r="M89" s="611"/>
      <c r="N89" s="611"/>
      <c r="O89" s="611"/>
      <c r="P89" s="572"/>
      <c r="Q89" s="572"/>
      <c r="R89" s="572"/>
      <c r="S89" s="572"/>
      <c r="T89" s="572"/>
      <c r="U89" s="572"/>
      <c r="V89" s="572"/>
      <c r="W89" s="572"/>
      <c r="X89" s="572"/>
      <c r="Y89" s="572"/>
      <c r="Z89" s="572"/>
      <c r="AA89" s="572"/>
      <c r="AB89" s="572"/>
      <c r="AC89" s="572"/>
      <c r="AD89" s="572"/>
      <c r="AE89" s="572"/>
      <c r="AF89" s="572"/>
      <c r="AG89" s="572"/>
      <c r="AH89" s="572"/>
      <c r="AI89" s="572"/>
      <c r="AJ89" s="572"/>
      <c r="AK89" s="572"/>
      <c r="AL89" s="572"/>
      <c r="AM89" s="572"/>
      <c r="AN89" s="572"/>
      <c r="AO89" s="572"/>
      <c r="AP89" s="572"/>
      <c r="AQ89" s="572"/>
      <c r="AR89" s="572"/>
      <c r="AS89" s="572"/>
      <c r="AT89" s="572"/>
      <c r="AU89" s="572"/>
      <c r="AV89" s="572"/>
      <c r="AW89" s="572"/>
      <c r="AX89" s="572"/>
      <c r="AY89" s="572"/>
      <c r="AZ89" s="572"/>
      <c r="BA89" s="572"/>
      <c r="BB89" s="572"/>
    </row>
    <row r="90" spans="2:54" ht="18" x14ac:dyDescent="0.2">
      <c r="B90" s="572"/>
      <c r="C90" s="611"/>
      <c r="D90" s="611"/>
      <c r="E90" s="572"/>
      <c r="F90" s="572"/>
      <c r="G90" s="611"/>
      <c r="H90" s="611"/>
      <c r="I90" s="611"/>
      <c r="J90" s="572"/>
      <c r="K90" s="572"/>
      <c r="L90" s="611"/>
      <c r="M90" s="611"/>
      <c r="N90" s="611"/>
      <c r="O90" s="611"/>
      <c r="P90" s="572"/>
      <c r="Q90" s="572"/>
      <c r="R90" s="572"/>
      <c r="S90" s="572"/>
      <c r="T90" s="572"/>
      <c r="U90" s="572"/>
      <c r="V90" s="572"/>
      <c r="W90" s="572"/>
      <c r="X90" s="572"/>
      <c r="Y90" s="572"/>
      <c r="Z90" s="572"/>
      <c r="AA90" s="572"/>
      <c r="AB90" s="572"/>
      <c r="AC90" s="572"/>
      <c r="AD90" s="572"/>
      <c r="AE90" s="572"/>
      <c r="AF90" s="572"/>
      <c r="AG90" s="572"/>
      <c r="AH90" s="572"/>
      <c r="AI90" s="572"/>
      <c r="AJ90" s="572"/>
      <c r="AK90" s="572"/>
      <c r="AL90" s="572"/>
      <c r="AM90" s="572"/>
      <c r="AN90" s="572"/>
      <c r="AO90" s="572"/>
      <c r="AP90" s="572"/>
      <c r="AQ90" s="572"/>
      <c r="AR90" s="572"/>
      <c r="AS90" s="572"/>
      <c r="AT90" s="572"/>
      <c r="AU90" s="572"/>
      <c r="AV90" s="572"/>
      <c r="AW90" s="572"/>
      <c r="AX90" s="572"/>
      <c r="AY90" s="572"/>
      <c r="AZ90" s="572"/>
      <c r="BA90" s="572"/>
      <c r="BB90" s="572"/>
    </row>
    <row r="91" spans="2:54" ht="18" x14ac:dyDescent="0.2">
      <c r="B91" s="572"/>
      <c r="C91" s="611"/>
      <c r="D91" s="611"/>
      <c r="E91" s="572"/>
      <c r="F91" s="572"/>
      <c r="G91" s="611"/>
      <c r="H91" s="611"/>
      <c r="I91" s="611"/>
      <c r="J91" s="572"/>
      <c r="K91" s="572"/>
      <c r="L91" s="611"/>
      <c r="M91" s="611"/>
      <c r="N91" s="611"/>
      <c r="O91" s="611"/>
      <c r="P91" s="572"/>
      <c r="Q91" s="572"/>
      <c r="R91" s="572"/>
      <c r="S91" s="572"/>
      <c r="T91" s="572"/>
      <c r="U91" s="572"/>
      <c r="V91" s="572"/>
      <c r="W91" s="572"/>
      <c r="X91" s="572"/>
      <c r="Y91" s="572"/>
      <c r="Z91" s="572"/>
      <c r="AA91" s="572"/>
      <c r="AB91" s="572"/>
      <c r="AC91" s="572"/>
      <c r="AD91" s="572"/>
      <c r="AE91" s="572"/>
      <c r="AF91" s="572"/>
      <c r="AG91" s="572"/>
      <c r="AH91" s="572"/>
      <c r="AI91" s="572"/>
      <c r="AJ91" s="572"/>
      <c r="AK91" s="572"/>
      <c r="AL91" s="572"/>
      <c r="AM91" s="572"/>
      <c r="AN91" s="572"/>
      <c r="AO91" s="572"/>
      <c r="AP91" s="572"/>
      <c r="AQ91" s="572"/>
      <c r="AR91" s="572"/>
      <c r="AS91" s="572"/>
      <c r="AT91" s="572"/>
      <c r="AU91" s="572"/>
      <c r="AV91" s="572"/>
      <c r="AW91" s="572"/>
      <c r="AX91" s="572"/>
      <c r="AY91" s="572"/>
      <c r="AZ91" s="572"/>
      <c r="BA91" s="572"/>
      <c r="BB91" s="572"/>
    </row>
    <row r="92" spans="2:54" ht="18" x14ac:dyDescent="0.2">
      <c r="B92" s="572"/>
      <c r="C92" s="611"/>
      <c r="D92" s="611"/>
      <c r="E92" s="572"/>
      <c r="F92" s="572"/>
      <c r="G92" s="611"/>
      <c r="H92" s="611"/>
      <c r="I92" s="611"/>
      <c r="J92" s="572"/>
      <c r="K92" s="572"/>
      <c r="L92" s="611"/>
      <c r="M92" s="611"/>
      <c r="N92" s="611"/>
      <c r="O92" s="611"/>
      <c r="P92" s="572"/>
      <c r="Q92" s="572"/>
      <c r="R92" s="572"/>
      <c r="S92" s="572"/>
      <c r="T92" s="572"/>
      <c r="U92" s="572"/>
      <c r="V92" s="572"/>
      <c r="W92" s="572"/>
      <c r="X92" s="572"/>
      <c r="Y92" s="572"/>
      <c r="Z92" s="572"/>
      <c r="AA92" s="572"/>
      <c r="AB92" s="572"/>
      <c r="AC92" s="572"/>
      <c r="AD92" s="572"/>
      <c r="AE92" s="572"/>
      <c r="AF92" s="572"/>
      <c r="AG92" s="572"/>
      <c r="AH92" s="572"/>
      <c r="AI92" s="572"/>
      <c r="AJ92" s="572"/>
      <c r="AK92" s="572"/>
      <c r="AL92" s="572"/>
      <c r="AM92" s="572"/>
      <c r="AN92" s="572"/>
      <c r="AO92" s="572"/>
      <c r="AP92" s="572"/>
      <c r="AQ92" s="572"/>
      <c r="AR92" s="572"/>
      <c r="AS92" s="572"/>
      <c r="AT92" s="572"/>
      <c r="AU92" s="572"/>
      <c r="AV92" s="572"/>
      <c r="AW92" s="572"/>
      <c r="AX92" s="572"/>
      <c r="AY92" s="572"/>
      <c r="AZ92" s="572"/>
      <c r="BA92" s="572"/>
      <c r="BB92" s="572"/>
    </row>
    <row r="93" spans="2:54" ht="18" x14ac:dyDescent="0.2">
      <c r="B93" s="572"/>
      <c r="C93" s="611"/>
      <c r="D93" s="611"/>
      <c r="E93" s="572"/>
      <c r="F93" s="572"/>
      <c r="G93" s="611"/>
      <c r="H93" s="611"/>
      <c r="I93" s="611"/>
      <c r="J93" s="572"/>
      <c r="K93" s="572"/>
      <c r="L93" s="611"/>
      <c r="M93" s="611"/>
      <c r="N93" s="611"/>
      <c r="O93" s="611"/>
      <c r="P93" s="572"/>
      <c r="Q93" s="572"/>
      <c r="R93" s="572"/>
      <c r="S93" s="572"/>
      <c r="T93" s="572"/>
      <c r="U93" s="572"/>
      <c r="V93" s="572"/>
      <c r="W93" s="572"/>
      <c r="X93" s="572"/>
      <c r="Y93" s="572"/>
      <c r="Z93" s="572"/>
      <c r="AA93" s="572"/>
      <c r="AB93" s="572"/>
      <c r="AC93" s="572"/>
      <c r="AD93" s="572"/>
      <c r="AE93" s="572"/>
      <c r="AF93" s="572"/>
      <c r="AG93" s="572"/>
      <c r="AH93" s="572"/>
      <c r="AI93" s="572"/>
      <c r="AJ93" s="572"/>
      <c r="AK93" s="572"/>
      <c r="AL93" s="572"/>
      <c r="AM93" s="572"/>
      <c r="AN93" s="572"/>
      <c r="AO93" s="572"/>
      <c r="AP93" s="572"/>
      <c r="AQ93" s="572"/>
      <c r="AR93" s="572"/>
      <c r="AS93" s="572"/>
      <c r="AT93" s="572"/>
      <c r="AU93" s="572"/>
      <c r="AV93" s="572"/>
      <c r="AW93" s="572"/>
      <c r="AX93" s="572"/>
      <c r="AY93" s="572"/>
      <c r="AZ93" s="572"/>
      <c r="BA93" s="572"/>
      <c r="BB93" s="572"/>
    </row>
    <row r="94" spans="2:54" ht="18" x14ac:dyDescent="0.2">
      <c r="B94" s="572"/>
      <c r="C94" s="611"/>
      <c r="D94" s="611"/>
      <c r="E94" s="572"/>
      <c r="F94" s="572"/>
      <c r="G94" s="611"/>
      <c r="H94" s="611"/>
      <c r="I94" s="611"/>
      <c r="J94" s="572"/>
      <c r="K94" s="572"/>
      <c r="L94" s="611"/>
      <c r="M94" s="611"/>
      <c r="N94" s="611"/>
      <c r="O94" s="611"/>
      <c r="P94" s="572"/>
      <c r="Q94" s="572"/>
      <c r="R94" s="572"/>
      <c r="S94" s="572"/>
      <c r="T94" s="572"/>
      <c r="U94" s="572"/>
      <c r="V94" s="572"/>
      <c r="W94" s="572"/>
      <c r="X94" s="572"/>
      <c r="Y94" s="572"/>
      <c r="Z94" s="572"/>
      <c r="AA94" s="572"/>
      <c r="AB94" s="572"/>
      <c r="AC94" s="572"/>
      <c r="AD94" s="572"/>
      <c r="AE94" s="572"/>
      <c r="AF94" s="572"/>
      <c r="AG94" s="572"/>
      <c r="AH94" s="572"/>
      <c r="AI94" s="572"/>
      <c r="AJ94" s="572"/>
      <c r="AK94" s="572"/>
      <c r="AL94" s="572"/>
      <c r="AM94" s="572"/>
      <c r="AN94" s="572"/>
      <c r="AO94" s="572"/>
      <c r="AP94" s="572"/>
      <c r="AQ94" s="572"/>
      <c r="AR94" s="572"/>
      <c r="AS94" s="572"/>
      <c r="AT94" s="572"/>
      <c r="AU94" s="572"/>
      <c r="AV94" s="572"/>
      <c r="AW94" s="572"/>
      <c r="AX94" s="572"/>
      <c r="AY94" s="572"/>
      <c r="AZ94" s="572"/>
      <c r="BA94" s="572"/>
      <c r="BB94" s="572"/>
    </row>
    <row r="95" spans="2:54" ht="18" x14ac:dyDescent="0.2">
      <c r="B95" s="572"/>
      <c r="C95" s="611"/>
      <c r="D95" s="611"/>
      <c r="E95" s="572"/>
      <c r="F95" s="572"/>
      <c r="G95" s="611"/>
      <c r="H95" s="611"/>
      <c r="I95" s="611"/>
      <c r="J95" s="572"/>
      <c r="K95" s="572"/>
      <c r="L95" s="611"/>
      <c r="M95" s="611"/>
      <c r="N95" s="611"/>
      <c r="O95" s="611"/>
      <c r="P95" s="572"/>
      <c r="Q95" s="572"/>
      <c r="R95" s="572"/>
      <c r="S95" s="572"/>
      <c r="T95" s="572"/>
      <c r="U95" s="572"/>
      <c r="V95" s="572"/>
      <c r="W95" s="572"/>
      <c r="X95" s="572"/>
      <c r="Y95" s="572"/>
      <c r="Z95" s="572"/>
      <c r="AA95" s="572"/>
      <c r="AB95" s="572"/>
      <c r="AC95" s="572"/>
      <c r="AD95" s="572"/>
      <c r="AE95" s="572"/>
      <c r="AF95" s="572"/>
      <c r="AG95" s="572"/>
      <c r="AH95" s="572"/>
      <c r="AI95" s="572"/>
      <c r="AJ95" s="572"/>
      <c r="AK95" s="572"/>
      <c r="AL95" s="572"/>
      <c r="AM95" s="572"/>
      <c r="AN95" s="572"/>
      <c r="AO95" s="572"/>
      <c r="AP95" s="572"/>
      <c r="AQ95" s="572"/>
      <c r="AR95" s="572"/>
      <c r="AS95" s="572"/>
      <c r="AT95" s="572"/>
      <c r="AU95" s="572"/>
      <c r="AV95" s="572"/>
      <c r="AW95" s="572"/>
      <c r="AX95" s="572"/>
      <c r="AY95" s="572"/>
      <c r="AZ95" s="572"/>
      <c r="BA95" s="572"/>
      <c r="BB95" s="572"/>
    </row>
    <row r="96" spans="2:54" ht="18" x14ac:dyDescent="0.2">
      <c r="B96" s="572"/>
      <c r="C96" s="611"/>
      <c r="D96" s="611"/>
      <c r="E96" s="572"/>
      <c r="F96" s="572"/>
      <c r="G96" s="611"/>
      <c r="H96" s="611"/>
      <c r="I96" s="611"/>
      <c r="J96" s="572"/>
      <c r="K96" s="572"/>
      <c r="L96" s="611"/>
      <c r="M96" s="611"/>
      <c r="N96" s="611"/>
      <c r="O96" s="611"/>
      <c r="P96" s="572"/>
      <c r="Q96" s="572"/>
      <c r="R96" s="572"/>
      <c r="S96" s="572"/>
      <c r="T96" s="572"/>
      <c r="U96" s="572"/>
      <c r="V96" s="572"/>
      <c r="W96" s="572"/>
      <c r="X96" s="572"/>
      <c r="Y96" s="572"/>
      <c r="Z96" s="572"/>
      <c r="AA96" s="572"/>
      <c r="AB96" s="572"/>
      <c r="AC96" s="572"/>
      <c r="AD96" s="572"/>
      <c r="AE96" s="572"/>
      <c r="AF96" s="572"/>
      <c r="AG96" s="572"/>
      <c r="AH96" s="572"/>
      <c r="AI96" s="572"/>
      <c r="AJ96" s="572"/>
      <c r="AK96" s="572"/>
      <c r="AL96" s="572"/>
      <c r="AM96" s="572"/>
      <c r="AN96" s="572"/>
      <c r="AO96" s="572"/>
      <c r="AP96" s="572"/>
      <c r="AQ96" s="572"/>
      <c r="AR96" s="572"/>
      <c r="AS96" s="572"/>
      <c r="AT96" s="572"/>
      <c r="AU96" s="572"/>
      <c r="AV96" s="572"/>
      <c r="AW96" s="572"/>
      <c r="AX96" s="572"/>
      <c r="AY96" s="572"/>
      <c r="AZ96" s="572"/>
      <c r="BA96" s="572"/>
      <c r="BB96" s="572"/>
    </row>
    <row r="97" spans="2:54" ht="18" x14ac:dyDescent="0.2">
      <c r="B97" s="572"/>
      <c r="C97" s="611"/>
      <c r="D97" s="611"/>
      <c r="E97" s="572"/>
      <c r="F97" s="572"/>
      <c r="G97" s="611"/>
      <c r="H97" s="611"/>
      <c r="I97" s="611"/>
      <c r="J97" s="572"/>
      <c r="K97" s="572"/>
      <c r="L97" s="611"/>
      <c r="M97" s="611"/>
      <c r="N97" s="611"/>
      <c r="O97" s="611"/>
      <c r="P97" s="572"/>
      <c r="Q97" s="572"/>
      <c r="R97" s="572"/>
      <c r="S97" s="572"/>
      <c r="T97" s="572"/>
      <c r="U97" s="572"/>
      <c r="V97" s="572"/>
      <c r="W97" s="572"/>
      <c r="X97" s="572"/>
      <c r="Y97" s="572"/>
      <c r="Z97" s="572"/>
      <c r="AA97" s="572"/>
      <c r="AB97" s="572"/>
      <c r="AC97" s="572"/>
      <c r="AD97" s="572"/>
      <c r="AE97" s="572"/>
      <c r="AF97" s="572"/>
      <c r="AG97" s="572"/>
      <c r="AH97" s="572"/>
      <c r="AI97" s="572"/>
      <c r="AJ97" s="572"/>
      <c r="AK97" s="572"/>
      <c r="AL97" s="572"/>
      <c r="AM97" s="572"/>
      <c r="AN97" s="572"/>
      <c r="AO97" s="572"/>
      <c r="AP97" s="572"/>
      <c r="AQ97" s="572"/>
      <c r="AR97" s="572"/>
      <c r="AS97" s="572"/>
      <c r="AT97" s="572"/>
      <c r="AU97" s="572"/>
      <c r="AV97" s="572"/>
      <c r="AW97" s="572"/>
      <c r="AX97" s="572"/>
      <c r="AY97" s="572"/>
      <c r="AZ97" s="572"/>
      <c r="BA97" s="572"/>
      <c r="BB97" s="572"/>
    </row>
    <row r="98" spans="2:54" ht="18" x14ac:dyDescent="0.2">
      <c r="B98" s="572"/>
      <c r="C98" s="611"/>
      <c r="D98" s="611"/>
      <c r="E98" s="572"/>
      <c r="F98" s="572"/>
      <c r="G98" s="611"/>
      <c r="H98" s="611"/>
      <c r="I98" s="611"/>
      <c r="J98" s="572"/>
      <c r="K98" s="572"/>
      <c r="L98" s="611"/>
      <c r="M98" s="611"/>
      <c r="N98" s="611"/>
      <c r="O98" s="611"/>
      <c r="P98" s="572"/>
      <c r="Q98" s="572"/>
      <c r="R98" s="572"/>
      <c r="S98" s="572"/>
      <c r="T98" s="572"/>
      <c r="U98" s="572"/>
      <c r="V98" s="572"/>
      <c r="W98" s="572"/>
      <c r="X98" s="572"/>
      <c r="Y98" s="572"/>
      <c r="Z98" s="572"/>
      <c r="AA98" s="572"/>
      <c r="AB98" s="572"/>
      <c r="AC98" s="572"/>
      <c r="AD98" s="572"/>
      <c r="AE98" s="572"/>
      <c r="AF98" s="572"/>
      <c r="AG98" s="572"/>
      <c r="AH98" s="572"/>
      <c r="AI98" s="572"/>
      <c r="AJ98" s="572"/>
      <c r="AK98" s="572"/>
      <c r="AL98" s="572"/>
      <c r="AM98" s="572"/>
      <c r="AN98" s="572"/>
      <c r="AO98" s="572"/>
      <c r="AP98" s="572"/>
      <c r="AQ98" s="572"/>
      <c r="AR98" s="572"/>
      <c r="AS98" s="572"/>
      <c r="AT98" s="572"/>
      <c r="AU98" s="572"/>
      <c r="AV98" s="572"/>
      <c r="AW98" s="572"/>
      <c r="AX98" s="572"/>
      <c r="AY98" s="572"/>
      <c r="AZ98" s="572"/>
      <c r="BA98" s="572"/>
      <c r="BB98" s="572"/>
    </row>
    <row r="99" spans="2:54" ht="18" x14ac:dyDescent="0.2">
      <c r="B99" s="572"/>
      <c r="C99" s="611"/>
      <c r="D99" s="611"/>
      <c r="E99" s="572"/>
      <c r="F99" s="572"/>
      <c r="G99" s="611"/>
      <c r="H99" s="611"/>
      <c r="I99" s="611"/>
      <c r="J99" s="572"/>
      <c r="K99" s="572"/>
      <c r="L99" s="611"/>
      <c r="M99" s="611"/>
      <c r="N99" s="611"/>
      <c r="O99" s="611"/>
      <c r="P99" s="572"/>
      <c r="Q99" s="572"/>
      <c r="R99" s="572"/>
      <c r="S99" s="572"/>
      <c r="T99" s="572"/>
      <c r="U99" s="572"/>
      <c r="V99" s="572"/>
      <c r="W99" s="572"/>
      <c r="X99" s="572"/>
      <c r="Y99" s="572"/>
      <c r="Z99" s="572"/>
      <c r="AA99" s="572"/>
      <c r="AB99" s="572"/>
      <c r="AC99" s="572"/>
      <c r="AD99" s="572"/>
      <c r="AE99" s="572"/>
      <c r="AF99" s="572"/>
      <c r="AG99" s="572"/>
      <c r="AH99" s="572"/>
      <c r="AI99" s="572"/>
      <c r="AJ99" s="572"/>
      <c r="AK99" s="572"/>
      <c r="AL99" s="572"/>
      <c r="AM99" s="572"/>
      <c r="AN99" s="572"/>
      <c r="AO99" s="572"/>
      <c r="AP99" s="572"/>
      <c r="AQ99" s="572"/>
      <c r="AR99" s="572"/>
      <c r="AS99" s="572"/>
      <c r="AT99" s="572"/>
      <c r="AU99" s="572"/>
      <c r="AV99" s="572"/>
      <c r="AW99" s="572"/>
      <c r="AX99" s="572"/>
      <c r="AY99" s="572"/>
      <c r="AZ99" s="572"/>
      <c r="BA99" s="572"/>
      <c r="BB99" s="572"/>
    </row>
    <row r="100" spans="2:54" ht="18" x14ac:dyDescent="0.2">
      <c r="B100" s="572"/>
      <c r="C100" s="611"/>
      <c r="D100" s="611"/>
      <c r="E100" s="572"/>
      <c r="F100" s="572"/>
      <c r="G100" s="611"/>
      <c r="H100" s="611"/>
      <c r="I100" s="611"/>
      <c r="J100" s="572"/>
      <c r="K100" s="572"/>
      <c r="L100" s="611"/>
      <c r="M100" s="611"/>
      <c r="N100" s="611"/>
      <c r="O100" s="611"/>
      <c r="P100" s="572"/>
      <c r="Q100" s="572"/>
      <c r="R100" s="572"/>
      <c r="S100" s="572"/>
      <c r="T100" s="572"/>
      <c r="U100" s="572"/>
      <c r="V100" s="572"/>
      <c r="W100" s="572"/>
      <c r="X100" s="572"/>
      <c r="Y100" s="572"/>
      <c r="Z100" s="572"/>
      <c r="AA100" s="572"/>
      <c r="AB100" s="572"/>
      <c r="AC100" s="572"/>
      <c r="AD100" s="572"/>
      <c r="AE100" s="572"/>
      <c r="AF100" s="572"/>
      <c r="AG100" s="572"/>
      <c r="AH100" s="572"/>
      <c r="AI100" s="572"/>
      <c r="AJ100" s="572"/>
      <c r="AK100" s="572"/>
      <c r="AL100" s="572"/>
      <c r="AM100" s="572"/>
      <c r="AN100" s="572"/>
      <c r="AO100" s="572"/>
      <c r="AP100" s="572"/>
      <c r="AQ100" s="572"/>
      <c r="AR100" s="572"/>
      <c r="AS100" s="572"/>
      <c r="AT100" s="572"/>
      <c r="AU100" s="572"/>
      <c r="AV100" s="572"/>
      <c r="AW100" s="572"/>
      <c r="AX100" s="572"/>
      <c r="AY100" s="572"/>
      <c r="AZ100" s="572"/>
      <c r="BA100" s="572"/>
      <c r="BB100" s="572"/>
    </row>
    <row r="101" spans="2:54" ht="18" x14ac:dyDescent="0.2">
      <c r="B101" s="572"/>
      <c r="C101" s="611"/>
      <c r="D101" s="611"/>
      <c r="E101" s="572"/>
      <c r="F101" s="572"/>
      <c r="G101" s="611"/>
      <c r="H101" s="611"/>
      <c r="I101" s="611"/>
      <c r="J101" s="572"/>
      <c r="K101" s="572"/>
      <c r="L101" s="611"/>
      <c r="M101" s="611"/>
      <c r="N101" s="611"/>
      <c r="O101" s="611"/>
      <c r="P101" s="572"/>
      <c r="Q101" s="572"/>
      <c r="R101" s="572"/>
      <c r="S101" s="572"/>
      <c r="T101" s="572"/>
      <c r="U101" s="572"/>
      <c r="V101" s="572"/>
      <c r="W101" s="572"/>
      <c r="X101" s="572"/>
      <c r="Y101" s="572"/>
      <c r="Z101" s="572"/>
      <c r="AA101" s="572"/>
      <c r="AB101" s="572"/>
      <c r="AC101" s="572"/>
      <c r="AD101" s="572"/>
      <c r="AE101" s="572"/>
      <c r="AF101" s="572"/>
      <c r="AG101" s="572"/>
      <c r="AH101" s="572"/>
      <c r="AI101" s="572"/>
      <c r="AJ101" s="572"/>
      <c r="AK101" s="572"/>
      <c r="AL101" s="572"/>
      <c r="AM101" s="572"/>
      <c r="AN101" s="572"/>
      <c r="AO101" s="572"/>
      <c r="AP101" s="572"/>
      <c r="AQ101" s="572"/>
      <c r="AR101" s="572"/>
      <c r="AS101" s="572"/>
      <c r="AT101" s="572"/>
      <c r="AU101" s="572"/>
      <c r="AV101" s="572"/>
      <c r="AW101" s="572"/>
      <c r="AX101" s="572"/>
      <c r="AY101" s="572"/>
      <c r="AZ101" s="572"/>
      <c r="BA101" s="572"/>
      <c r="BB101" s="572"/>
    </row>
    <row r="102" spans="2:54" ht="18" x14ac:dyDescent="0.2">
      <c r="B102" s="572"/>
      <c r="C102" s="611"/>
      <c r="D102" s="611"/>
      <c r="E102" s="572"/>
      <c r="F102" s="572"/>
      <c r="G102" s="611"/>
      <c r="H102" s="611"/>
      <c r="I102" s="611"/>
      <c r="J102" s="572"/>
      <c r="K102" s="572"/>
      <c r="L102" s="611"/>
      <c r="M102" s="611"/>
      <c r="N102" s="611"/>
      <c r="O102" s="611"/>
      <c r="P102" s="572"/>
      <c r="Q102" s="572"/>
      <c r="R102" s="572"/>
      <c r="S102" s="572"/>
      <c r="T102" s="572"/>
      <c r="U102" s="572"/>
      <c r="V102" s="572"/>
      <c r="W102" s="572"/>
      <c r="X102" s="572"/>
      <c r="Y102" s="572"/>
      <c r="Z102" s="572"/>
      <c r="AA102" s="572"/>
      <c r="AB102" s="572"/>
      <c r="AC102" s="572"/>
      <c r="AD102" s="572"/>
      <c r="AE102" s="572"/>
      <c r="AF102" s="572"/>
      <c r="AG102" s="572"/>
      <c r="AH102" s="572"/>
      <c r="AI102" s="572"/>
      <c r="AJ102" s="572"/>
      <c r="AK102" s="572"/>
      <c r="AL102" s="572"/>
      <c r="AM102" s="572"/>
      <c r="AN102" s="572"/>
      <c r="AO102" s="572"/>
      <c r="AP102" s="572"/>
      <c r="AQ102" s="572"/>
      <c r="AR102" s="572"/>
      <c r="AS102" s="572"/>
      <c r="AT102" s="572"/>
      <c r="AU102" s="572"/>
      <c r="AV102" s="572"/>
      <c r="AW102" s="572"/>
      <c r="AX102" s="572"/>
      <c r="AY102" s="572"/>
      <c r="AZ102" s="572"/>
      <c r="BA102" s="572"/>
      <c r="BB102" s="572"/>
    </row>
    <row r="103" spans="2:54" ht="18" x14ac:dyDescent="0.2">
      <c r="B103" s="572"/>
      <c r="C103" s="611"/>
      <c r="D103" s="611"/>
      <c r="E103" s="572"/>
      <c r="F103" s="572"/>
      <c r="G103" s="611"/>
      <c r="H103" s="611"/>
      <c r="I103" s="611"/>
      <c r="J103" s="572"/>
      <c r="K103" s="572"/>
      <c r="L103" s="611"/>
      <c r="M103" s="611"/>
      <c r="N103" s="611"/>
      <c r="O103" s="611"/>
      <c r="P103" s="572"/>
      <c r="Q103" s="572"/>
      <c r="R103" s="572"/>
      <c r="S103" s="572"/>
      <c r="T103" s="572"/>
      <c r="U103" s="572"/>
      <c r="V103" s="572"/>
      <c r="W103" s="572"/>
      <c r="X103" s="572"/>
      <c r="Y103" s="572"/>
      <c r="Z103" s="572"/>
      <c r="AA103" s="572"/>
      <c r="AB103" s="572"/>
      <c r="AC103" s="572"/>
      <c r="AD103" s="572"/>
      <c r="AE103" s="572"/>
      <c r="AF103" s="572"/>
      <c r="AG103" s="572"/>
      <c r="AH103" s="572"/>
      <c r="AI103" s="572"/>
      <c r="AJ103" s="572"/>
      <c r="AK103" s="572"/>
      <c r="AL103" s="572"/>
      <c r="AM103" s="572"/>
      <c r="AN103" s="572"/>
      <c r="AO103" s="572"/>
      <c r="AP103" s="572"/>
      <c r="AQ103" s="572"/>
      <c r="AR103" s="572"/>
      <c r="AS103" s="572"/>
      <c r="AT103" s="572"/>
      <c r="AU103" s="572"/>
      <c r="AV103" s="572"/>
      <c r="AW103" s="572"/>
      <c r="AX103" s="572"/>
      <c r="AY103" s="572"/>
      <c r="AZ103" s="572"/>
      <c r="BA103" s="572"/>
      <c r="BB103" s="572"/>
    </row>
    <row r="104" spans="2:54" ht="18" x14ac:dyDescent="0.2">
      <c r="B104" s="572"/>
      <c r="C104" s="611"/>
      <c r="D104" s="611"/>
      <c r="E104" s="572"/>
      <c r="F104" s="572"/>
      <c r="G104" s="611"/>
      <c r="H104" s="611"/>
      <c r="I104" s="611"/>
      <c r="J104" s="572"/>
      <c r="K104" s="572"/>
      <c r="L104" s="611"/>
      <c r="M104" s="611"/>
      <c r="N104" s="611"/>
      <c r="O104" s="611"/>
      <c r="P104" s="572"/>
      <c r="Q104" s="572"/>
      <c r="R104" s="572"/>
      <c r="S104" s="572"/>
      <c r="T104" s="572"/>
      <c r="U104" s="572"/>
      <c r="V104" s="572"/>
      <c r="W104" s="572"/>
      <c r="X104" s="572"/>
      <c r="Y104" s="572"/>
      <c r="Z104" s="572"/>
      <c r="AA104" s="572"/>
      <c r="AB104" s="572"/>
      <c r="AC104" s="572"/>
      <c r="AD104" s="572"/>
      <c r="AE104" s="572"/>
      <c r="AF104" s="572"/>
      <c r="AG104" s="572"/>
      <c r="AH104" s="572"/>
      <c r="AI104" s="572"/>
      <c r="AJ104" s="572"/>
      <c r="AK104" s="572"/>
      <c r="AL104" s="572"/>
      <c r="AM104" s="572"/>
      <c r="AN104" s="572"/>
      <c r="AO104" s="572"/>
      <c r="AP104" s="572"/>
      <c r="AQ104" s="572"/>
      <c r="AR104" s="572"/>
      <c r="AS104" s="572"/>
      <c r="AT104" s="572"/>
      <c r="AU104" s="572"/>
      <c r="AV104" s="572"/>
      <c r="AW104" s="572"/>
      <c r="AX104" s="572"/>
      <c r="AY104" s="572"/>
      <c r="AZ104" s="572"/>
      <c r="BA104" s="572"/>
      <c r="BB104" s="572"/>
    </row>
    <row r="105" spans="2:54" ht="18" x14ac:dyDescent="0.2">
      <c r="B105" s="572"/>
      <c r="C105" s="611"/>
      <c r="D105" s="611"/>
      <c r="E105" s="572"/>
      <c r="F105" s="572"/>
      <c r="G105" s="611"/>
      <c r="H105" s="611"/>
      <c r="I105" s="611"/>
      <c r="J105" s="572"/>
      <c r="K105" s="572"/>
      <c r="L105" s="611"/>
      <c r="M105" s="611"/>
      <c r="N105" s="611"/>
      <c r="O105" s="611"/>
      <c r="P105" s="572"/>
      <c r="Q105" s="572"/>
      <c r="R105" s="572"/>
      <c r="S105" s="572"/>
      <c r="T105" s="572"/>
      <c r="U105" s="572"/>
      <c r="V105" s="572"/>
      <c r="W105" s="572"/>
      <c r="X105" s="572"/>
      <c r="Y105" s="572"/>
      <c r="Z105" s="572"/>
      <c r="AA105" s="572"/>
      <c r="AB105" s="572"/>
      <c r="AC105" s="572"/>
      <c r="AD105" s="572"/>
      <c r="AE105" s="572"/>
      <c r="AF105" s="572"/>
      <c r="AG105" s="572"/>
      <c r="AH105" s="572"/>
      <c r="AI105" s="572"/>
      <c r="AJ105" s="572"/>
      <c r="AK105" s="572"/>
      <c r="AL105" s="572"/>
      <c r="AM105" s="572"/>
      <c r="AN105" s="572"/>
      <c r="AO105" s="572"/>
      <c r="AP105" s="572"/>
      <c r="AQ105" s="572"/>
      <c r="AR105" s="572"/>
      <c r="AS105" s="572"/>
      <c r="AT105" s="572"/>
      <c r="AU105" s="572"/>
      <c r="AV105" s="572"/>
      <c r="AW105" s="572"/>
      <c r="AX105" s="572"/>
      <c r="AY105" s="572"/>
      <c r="AZ105" s="572"/>
      <c r="BA105" s="572"/>
      <c r="BB105" s="572"/>
    </row>
    <row r="106" spans="2:54" ht="18" x14ac:dyDescent="0.2">
      <c r="B106" s="572"/>
      <c r="C106" s="611"/>
      <c r="D106" s="611"/>
      <c r="E106" s="572"/>
      <c r="F106" s="572"/>
      <c r="G106" s="611"/>
      <c r="H106" s="611"/>
      <c r="I106" s="611"/>
      <c r="J106" s="572"/>
      <c r="K106" s="572"/>
      <c r="L106" s="611"/>
      <c r="M106" s="611"/>
      <c r="N106" s="611"/>
      <c r="O106" s="611"/>
      <c r="P106" s="572"/>
      <c r="Q106" s="572"/>
      <c r="R106" s="572"/>
      <c r="S106" s="572"/>
      <c r="T106" s="572"/>
      <c r="U106" s="572"/>
      <c r="V106" s="572"/>
      <c r="W106" s="572"/>
      <c r="X106" s="572"/>
      <c r="Y106" s="572"/>
      <c r="Z106" s="572"/>
      <c r="AA106" s="572"/>
      <c r="AB106" s="572"/>
      <c r="AC106" s="572"/>
      <c r="AD106" s="572"/>
      <c r="AE106" s="572"/>
      <c r="AF106" s="572"/>
      <c r="AG106" s="572"/>
      <c r="AH106" s="572"/>
      <c r="AI106" s="572"/>
      <c r="AJ106" s="572"/>
      <c r="AK106" s="572"/>
      <c r="AL106" s="572"/>
      <c r="AM106" s="572"/>
      <c r="AN106" s="572"/>
      <c r="AO106" s="572"/>
      <c r="AP106" s="572"/>
      <c r="AQ106" s="572"/>
      <c r="AR106" s="572"/>
      <c r="AS106" s="572"/>
      <c r="AT106" s="572"/>
      <c r="AU106" s="572"/>
      <c r="AV106" s="572"/>
      <c r="AW106" s="572"/>
      <c r="AX106" s="572"/>
      <c r="AY106" s="572"/>
      <c r="AZ106" s="572"/>
      <c r="BA106" s="572"/>
      <c r="BB106" s="572"/>
    </row>
    <row r="107" spans="2:54" ht="18" x14ac:dyDescent="0.2">
      <c r="B107" s="572"/>
      <c r="C107" s="611"/>
      <c r="D107" s="611"/>
      <c r="E107" s="572"/>
      <c r="F107" s="572"/>
      <c r="G107" s="611"/>
      <c r="H107" s="611"/>
      <c r="I107" s="611"/>
      <c r="J107" s="572"/>
      <c r="K107" s="572"/>
      <c r="L107" s="611"/>
      <c r="M107" s="611"/>
      <c r="N107" s="611"/>
      <c r="O107" s="611"/>
      <c r="P107" s="572"/>
      <c r="Q107" s="572"/>
      <c r="R107" s="572"/>
      <c r="S107" s="572"/>
      <c r="T107" s="572"/>
      <c r="U107" s="572"/>
      <c r="V107" s="572"/>
      <c r="W107" s="572"/>
      <c r="X107" s="572"/>
      <c r="Y107" s="572"/>
      <c r="Z107" s="572"/>
      <c r="AA107" s="572"/>
      <c r="AB107" s="572"/>
      <c r="AC107" s="572"/>
      <c r="AD107" s="572"/>
      <c r="AE107" s="572"/>
      <c r="AF107" s="572"/>
      <c r="AG107" s="572"/>
      <c r="AH107" s="572"/>
      <c r="AI107" s="572"/>
      <c r="AJ107" s="572"/>
      <c r="AK107" s="572"/>
      <c r="AL107" s="572"/>
      <c r="AM107" s="572"/>
      <c r="AN107" s="572"/>
      <c r="AO107" s="572"/>
      <c r="AP107" s="572"/>
      <c r="AQ107" s="572"/>
      <c r="AR107" s="572"/>
      <c r="AS107" s="572"/>
      <c r="AT107" s="572"/>
      <c r="AU107" s="572"/>
      <c r="AV107" s="572"/>
      <c r="AW107" s="572"/>
      <c r="AX107" s="572"/>
      <c r="AY107" s="572"/>
      <c r="AZ107" s="572"/>
      <c r="BA107" s="572"/>
      <c r="BB107" s="572"/>
    </row>
    <row r="108" spans="2:54" ht="18" x14ac:dyDescent="0.2">
      <c r="B108" s="572"/>
      <c r="C108" s="611"/>
      <c r="D108" s="611"/>
      <c r="E108" s="572"/>
      <c r="F108" s="572"/>
      <c r="G108" s="611"/>
      <c r="H108" s="611"/>
      <c r="I108" s="611"/>
      <c r="J108" s="572"/>
      <c r="K108" s="572"/>
      <c r="L108" s="611"/>
      <c r="M108" s="611"/>
      <c r="N108" s="611"/>
      <c r="O108" s="611"/>
      <c r="P108" s="572"/>
      <c r="Q108" s="572"/>
      <c r="R108" s="572"/>
      <c r="S108" s="572"/>
      <c r="T108" s="572"/>
      <c r="U108" s="572"/>
      <c r="V108" s="572"/>
      <c r="W108" s="572"/>
      <c r="X108" s="572"/>
      <c r="Y108" s="572"/>
      <c r="Z108" s="572"/>
      <c r="AA108" s="572"/>
      <c r="AB108" s="572"/>
      <c r="AC108" s="572"/>
      <c r="AD108" s="572"/>
      <c r="AE108" s="572"/>
      <c r="AF108" s="572"/>
      <c r="AG108" s="572"/>
      <c r="AH108" s="572"/>
      <c r="AI108" s="572"/>
      <c r="AJ108" s="572"/>
      <c r="AK108" s="572"/>
      <c r="AL108" s="572"/>
      <c r="AM108" s="572"/>
      <c r="AN108" s="572"/>
      <c r="AO108" s="572"/>
      <c r="AP108" s="572"/>
      <c r="AQ108" s="572"/>
      <c r="AR108" s="572"/>
      <c r="AS108" s="572"/>
      <c r="AT108" s="572"/>
      <c r="AU108" s="572"/>
      <c r="AV108" s="572"/>
      <c r="AW108" s="572"/>
      <c r="AX108" s="572"/>
      <c r="AY108" s="572"/>
      <c r="AZ108" s="572"/>
      <c r="BA108" s="572"/>
      <c r="BB108" s="572"/>
    </row>
    <row r="109" spans="2:54" ht="18" x14ac:dyDescent="0.2">
      <c r="B109" s="572"/>
      <c r="C109" s="611"/>
      <c r="D109" s="611"/>
      <c r="E109" s="572"/>
      <c r="F109" s="572"/>
      <c r="G109" s="611"/>
      <c r="H109" s="611"/>
      <c r="I109" s="611"/>
      <c r="J109" s="572"/>
      <c r="K109" s="572"/>
      <c r="L109" s="611"/>
      <c r="M109" s="611"/>
      <c r="N109" s="611"/>
      <c r="O109" s="611"/>
      <c r="P109" s="572"/>
      <c r="Q109" s="572"/>
      <c r="R109" s="572"/>
      <c r="S109" s="572"/>
      <c r="T109" s="572"/>
      <c r="U109" s="572"/>
      <c r="V109" s="572"/>
      <c r="W109" s="572"/>
      <c r="X109" s="572"/>
      <c r="Y109" s="572"/>
      <c r="Z109" s="572"/>
      <c r="AA109" s="572"/>
      <c r="AB109" s="572"/>
      <c r="AC109" s="572"/>
      <c r="AD109" s="572"/>
      <c r="AE109" s="572"/>
      <c r="AF109" s="572"/>
      <c r="AG109" s="572"/>
      <c r="AH109" s="572"/>
      <c r="AI109" s="572"/>
      <c r="AJ109" s="572"/>
      <c r="AK109" s="572"/>
      <c r="AL109" s="572"/>
      <c r="AM109" s="572"/>
      <c r="AN109" s="572"/>
      <c r="AO109" s="572"/>
      <c r="AP109" s="572"/>
      <c r="AQ109" s="572"/>
      <c r="AR109" s="572"/>
      <c r="AS109" s="572"/>
      <c r="AT109" s="572"/>
      <c r="AU109" s="572"/>
      <c r="AV109" s="572"/>
      <c r="AW109" s="572"/>
      <c r="AX109" s="572"/>
      <c r="AY109" s="572"/>
      <c r="AZ109" s="572"/>
      <c r="BA109" s="572"/>
      <c r="BB109" s="572"/>
    </row>
    <row r="110" spans="2:54" ht="18" x14ac:dyDescent="0.2">
      <c r="B110" s="572"/>
      <c r="C110" s="611"/>
      <c r="D110" s="611"/>
      <c r="E110" s="572"/>
      <c r="F110" s="572"/>
      <c r="G110" s="611"/>
      <c r="H110" s="611"/>
      <c r="I110" s="611"/>
      <c r="J110" s="572"/>
      <c r="K110" s="572"/>
      <c r="L110" s="611"/>
      <c r="M110" s="611"/>
      <c r="N110" s="611"/>
      <c r="O110" s="611"/>
      <c r="P110" s="572"/>
      <c r="Q110" s="572"/>
      <c r="R110" s="572"/>
      <c r="S110" s="572"/>
      <c r="T110" s="572"/>
      <c r="U110" s="572"/>
      <c r="V110" s="572"/>
      <c r="W110" s="572"/>
      <c r="X110" s="572"/>
      <c r="Y110" s="572"/>
      <c r="Z110" s="572"/>
      <c r="AA110" s="572"/>
      <c r="AB110" s="572"/>
      <c r="AC110" s="572"/>
      <c r="AD110" s="572"/>
      <c r="AE110" s="572"/>
      <c r="AF110" s="572"/>
      <c r="AG110" s="572"/>
      <c r="AH110" s="572"/>
      <c r="AI110" s="572"/>
      <c r="AJ110" s="572"/>
      <c r="AK110" s="572"/>
      <c r="AL110" s="572"/>
      <c r="AM110" s="572"/>
      <c r="AN110" s="572"/>
      <c r="AO110" s="572"/>
      <c r="AP110" s="572"/>
      <c r="AQ110" s="572"/>
      <c r="AR110" s="572"/>
      <c r="AS110" s="572"/>
      <c r="AT110" s="572"/>
      <c r="AU110" s="572"/>
      <c r="AV110" s="572"/>
      <c r="AW110" s="572"/>
      <c r="AX110" s="572"/>
      <c r="AY110" s="572"/>
      <c r="AZ110" s="572"/>
      <c r="BA110" s="572"/>
      <c r="BB110" s="572"/>
    </row>
    <row r="111" spans="2:54" ht="18" x14ac:dyDescent="0.2">
      <c r="B111" s="572"/>
      <c r="C111" s="611"/>
      <c r="D111" s="611"/>
      <c r="E111" s="572"/>
      <c r="F111" s="572"/>
      <c r="G111" s="611"/>
      <c r="H111" s="611"/>
      <c r="I111" s="611"/>
      <c r="J111" s="572"/>
      <c r="K111" s="572"/>
      <c r="L111" s="611"/>
      <c r="M111" s="611"/>
      <c r="N111" s="611"/>
      <c r="O111" s="611"/>
      <c r="P111" s="572"/>
      <c r="Q111" s="572"/>
      <c r="R111" s="572"/>
      <c r="S111" s="572"/>
      <c r="T111" s="572"/>
      <c r="U111" s="572"/>
      <c r="V111" s="572"/>
      <c r="W111" s="572"/>
      <c r="X111" s="572"/>
      <c r="Y111" s="572"/>
      <c r="Z111" s="572"/>
      <c r="AA111" s="572"/>
      <c r="AB111" s="572"/>
      <c r="AC111" s="572"/>
      <c r="AD111" s="572"/>
      <c r="AE111" s="572"/>
      <c r="AF111" s="572"/>
      <c r="AG111" s="572"/>
      <c r="AH111" s="572"/>
      <c r="AI111" s="572"/>
      <c r="AJ111" s="572"/>
      <c r="AK111" s="572"/>
      <c r="AL111" s="572"/>
      <c r="AM111" s="572"/>
      <c r="AN111" s="572"/>
      <c r="AO111" s="572"/>
      <c r="AP111" s="572"/>
      <c r="AQ111" s="572"/>
      <c r="AR111" s="572"/>
      <c r="AS111" s="572"/>
      <c r="AT111" s="572"/>
      <c r="AU111" s="572"/>
      <c r="AV111" s="572"/>
      <c r="AW111" s="572"/>
      <c r="AX111" s="572"/>
      <c r="AY111" s="572"/>
      <c r="AZ111" s="572"/>
      <c r="BA111" s="572"/>
      <c r="BB111" s="572"/>
    </row>
    <row r="112" spans="2:54" ht="18" x14ac:dyDescent="0.2">
      <c r="B112" s="572"/>
      <c r="C112" s="611"/>
      <c r="D112" s="611"/>
      <c r="E112" s="572"/>
      <c r="F112" s="572"/>
      <c r="G112" s="611"/>
      <c r="H112" s="611"/>
      <c r="I112" s="611"/>
      <c r="J112" s="572"/>
      <c r="K112" s="572"/>
      <c r="L112" s="611"/>
      <c r="M112" s="611"/>
      <c r="N112" s="611"/>
      <c r="O112" s="611"/>
      <c r="P112" s="572"/>
      <c r="Q112" s="572"/>
      <c r="R112" s="572"/>
      <c r="S112" s="572"/>
      <c r="T112" s="572"/>
      <c r="U112" s="572"/>
      <c r="V112" s="572"/>
      <c r="W112" s="572"/>
      <c r="X112" s="572"/>
      <c r="Y112" s="572"/>
      <c r="Z112" s="572"/>
      <c r="AA112" s="572"/>
      <c r="AB112" s="572"/>
      <c r="AC112" s="572"/>
      <c r="AD112" s="572"/>
      <c r="AE112" s="572"/>
      <c r="AF112" s="572"/>
      <c r="AG112" s="572"/>
      <c r="AH112" s="572"/>
      <c r="AI112" s="572"/>
      <c r="AJ112" s="572"/>
      <c r="AK112" s="572"/>
      <c r="AL112" s="572"/>
      <c r="AM112" s="572"/>
      <c r="AN112" s="572"/>
      <c r="AO112" s="572"/>
      <c r="AP112" s="572"/>
      <c r="AQ112" s="572"/>
      <c r="AR112" s="572"/>
      <c r="AS112" s="572"/>
      <c r="AT112" s="572"/>
      <c r="AU112" s="572"/>
      <c r="AV112" s="572"/>
      <c r="AW112" s="572"/>
      <c r="AX112" s="572"/>
      <c r="AY112" s="572"/>
      <c r="AZ112" s="572"/>
      <c r="BA112" s="572"/>
      <c r="BB112" s="572"/>
    </row>
    <row r="113" spans="2:54" ht="18" x14ac:dyDescent="0.2">
      <c r="B113" s="572"/>
      <c r="C113" s="611"/>
      <c r="D113" s="611"/>
      <c r="E113" s="572"/>
      <c r="F113" s="572"/>
      <c r="G113" s="611"/>
      <c r="H113" s="611"/>
      <c r="I113" s="611"/>
      <c r="J113" s="572"/>
      <c r="K113" s="572"/>
      <c r="L113" s="611"/>
      <c r="M113" s="611"/>
      <c r="N113" s="611"/>
      <c r="O113" s="611"/>
      <c r="P113" s="572"/>
      <c r="Q113" s="572"/>
      <c r="R113" s="572"/>
      <c r="S113" s="572"/>
      <c r="T113" s="572"/>
      <c r="U113" s="572"/>
      <c r="V113" s="572"/>
      <c r="W113" s="572"/>
      <c r="X113" s="572"/>
      <c r="Y113" s="572"/>
      <c r="Z113" s="572"/>
      <c r="AA113" s="572"/>
      <c r="AB113" s="572"/>
      <c r="AC113" s="572"/>
      <c r="AD113" s="572"/>
      <c r="AE113" s="572"/>
      <c r="AF113" s="572"/>
      <c r="AG113" s="572"/>
      <c r="AH113" s="572"/>
      <c r="AI113" s="572"/>
      <c r="AJ113" s="572"/>
      <c r="AK113" s="572"/>
      <c r="AL113" s="572"/>
      <c r="AM113" s="572"/>
      <c r="AN113" s="572"/>
      <c r="AO113" s="572"/>
      <c r="AP113" s="572"/>
      <c r="AQ113" s="572"/>
      <c r="AR113" s="572"/>
      <c r="AS113" s="572"/>
      <c r="AT113" s="572"/>
      <c r="AU113" s="572"/>
      <c r="AV113" s="572"/>
      <c r="AW113" s="572"/>
      <c r="AX113" s="572"/>
      <c r="AY113" s="572"/>
      <c r="AZ113" s="572"/>
      <c r="BA113" s="572"/>
      <c r="BB113" s="572"/>
    </row>
    <row r="114" spans="2:54" ht="18" x14ac:dyDescent="0.2">
      <c r="B114" s="572"/>
      <c r="C114" s="611"/>
      <c r="D114" s="611"/>
      <c r="E114" s="572"/>
      <c r="F114" s="572"/>
      <c r="G114" s="611"/>
      <c r="H114" s="611"/>
      <c r="I114" s="611"/>
      <c r="J114" s="572"/>
      <c r="K114" s="572"/>
      <c r="L114" s="611"/>
      <c r="M114" s="611"/>
      <c r="N114" s="611"/>
      <c r="O114" s="611"/>
      <c r="P114" s="572"/>
      <c r="Q114" s="572"/>
      <c r="R114" s="572"/>
      <c r="S114" s="572"/>
      <c r="T114" s="572"/>
      <c r="U114" s="572"/>
      <c r="V114" s="572"/>
      <c r="W114" s="572"/>
      <c r="X114" s="572"/>
      <c r="Y114" s="572"/>
      <c r="Z114" s="572"/>
      <c r="AA114" s="572"/>
      <c r="AB114" s="572"/>
      <c r="AC114" s="572"/>
      <c r="AD114" s="572"/>
      <c r="AE114" s="572"/>
      <c r="AF114" s="572"/>
      <c r="AG114" s="572"/>
      <c r="AH114" s="572"/>
      <c r="AI114" s="572"/>
      <c r="AJ114" s="572"/>
      <c r="AK114" s="572"/>
      <c r="AL114" s="572"/>
      <c r="AM114" s="572"/>
      <c r="AN114" s="572"/>
      <c r="AO114" s="572"/>
      <c r="AP114" s="572"/>
      <c r="AQ114" s="572"/>
      <c r="AR114" s="572"/>
      <c r="AS114" s="572"/>
      <c r="AT114" s="572"/>
      <c r="AU114" s="572"/>
      <c r="AV114" s="572"/>
      <c r="AW114" s="572"/>
      <c r="AX114" s="572"/>
      <c r="AY114" s="572"/>
      <c r="AZ114" s="572"/>
      <c r="BA114" s="572"/>
      <c r="BB114" s="572"/>
    </row>
    <row r="115" spans="2:54" ht="18" x14ac:dyDescent="0.2">
      <c r="B115" s="572"/>
      <c r="C115" s="611"/>
      <c r="D115" s="611"/>
      <c r="E115" s="572"/>
      <c r="F115" s="572"/>
      <c r="G115" s="611"/>
      <c r="H115" s="611"/>
      <c r="I115" s="611"/>
      <c r="J115" s="572"/>
      <c r="K115" s="572"/>
      <c r="L115" s="611"/>
      <c r="M115" s="611"/>
      <c r="N115" s="611"/>
      <c r="O115" s="611"/>
      <c r="P115" s="572"/>
      <c r="Q115" s="572"/>
      <c r="R115" s="572"/>
      <c r="S115" s="572"/>
      <c r="T115" s="572"/>
      <c r="U115" s="572"/>
      <c r="V115" s="572"/>
      <c r="W115" s="572"/>
      <c r="X115" s="572"/>
      <c r="Y115" s="572"/>
      <c r="Z115" s="572"/>
      <c r="AA115" s="572"/>
      <c r="AB115" s="572"/>
      <c r="AC115" s="572"/>
      <c r="AD115" s="572"/>
      <c r="AE115" s="572"/>
      <c r="AF115" s="572"/>
      <c r="AG115" s="572"/>
      <c r="AH115" s="572"/>
      <c r="AI115" s="572"/>
      <c r="AJ115" s="572"/>
      <c r="AK115" s="572"/>
      <c r="AL115" s="572"/>
      <c r="AM115" s="572"/>
      <c r="AN115" s="572"/>
      <c r="AO115" s="572"/>
      <c r="AP115" s="572"/>
      <c r="AQ115" s="572"/>
      <c r="AR115" s="572"/>
      <c r="AS115" s="572"/>
      <c r="AT115" s="572"/>
      <c r="AU115" s="572"/>
      <c r="AV115" s="572"/>
      <c r="AW115" s="572"/>
      <c r="AX115" s="572"/>
      <c r="AY115" s="572"/>
      <c r="AZ115" s="572"/>
      <c r="BA115" s="572"/>
      <c r="BB115" s="572"/>
    </row>
    <row r="116" spans="2:54" ht="18" x14ac:dyDescent="0.2">
      <c r="B116" s="572"/>
      <c r="C116" s="611"/>
      <c r="D116" s="611"/>
      <c r="E116" s="572"/>
      <c r="F116" s="572"/>
      <c r="G116" s="611"/>
      <c r="H116" s="611"/>
      <c r="I116" s="611"/>
      <c r="J116" s="572"/>
      <c r="K116" s="572"/>
      <c r="L116" s="611"/>
      <c r="M116" s="611"/>
      <c r="N116" s="611"/>
      <c r="O116" s="611"/>
      <c r="P116" s="572"/>
      <c r="Q116" s="572"/>
      <c r="R116" s="572"/>
      <c r="S116" s="572"/>
      <c r="T116" s="572"/>
      <c r="U116" s="572"/>
      <c r="V116" s="572"/>
      <c r="W116" s="572"/>
      <c r="X116" s="572"/>
      <c r="Y116" s="572"/>
      <c r="Z116" s="572"/>
      <c r="AA116" s="572"/>
      <c r="AB116" s="572"/>
      <c r="AC116" s="572"/>
      <c r="AD116" s="572"/>
      <c r="AE116" s="572"/>
      <c r="AF116" s="572"/>
      <c r="AG116" s="572"/>
      <c r="AH116" s="572"/>
      <c r="AI116" s="572"/>
      <c r="AJ116" s="572"/>
      <c r="AK116" s="572"/>
      <c r="AL116" s="572"/>
      <c r="AM116" s="572"/>
      <c r="AN116" s="572"/>
      <c r="AO116" s="572"/>
      <c r="AP116" s="572"/>
      <c r="AQ116" s="572"/>
      <c r="AR116" s="572"/>
      <c r="AS116" s="572"/>
      <c r="AT116" s="572"/>
      <c r="AU116" s="572"/>
      <c r="AV116" s="572"/>
      <c r="AW116" s="572"/>
      <c r="AX116" s="572"/>
      <c r="AY116" s="572"/>
      <c r="AZ116" s="572"/>
      <c r="BA116" s="572"/>
      <c r="BB116" s="572"/>
    </row>
    <row r="117" spans="2:54" ht="18" x14ac:dyDescent="0.2">
      <c r="B117" s="572"/>
      <c r="C117" s="611"/>
      <c r="D117" s="611"/>
      <c r="E117" s="572"/>
      <c r="F117" s="572"/>
      <c r="G117" s="611"/>
      <c r="H117" s="611"/>
      <c r="I117" s="611"/>
      <c r="J117" s="572"/>
      <c r="K117" s="572"/>
      <c r="L117" s="611"/>
      <c r="M117" s="611"/>
      <c r="N117" s="611"/>
      <c r="O117" s="611"/>
      <c r="P117" s="572"/>
      <c r="Q117" s="572"/>
      <c r="R117" s="572"/>
      <c r="S117" s="572"/>
      <c r="T117" s="572"/>
      <c r="U117" s="572"/>
      <c r="V117" s="572"/>
      <c r="W117" s="572"/>
      <c r="X117" s="572"/>
      <c r="Y117" s="572"/>
      <c r="Z117" s="572"/>
      <c r="AA117" s="572"/>
      <c r="AB117" s="572"/>
      <c r="AC117" s="572"/>
      <c r="AD117" s="572"/>
      <c r="AE117" s="572"/>
      <c r="AF117" s="572"/>
      <c r="AG117" s="572"/>
      <c r="AH117" s="572"/>
      <c r="AI117" s="572"/>
      <c r="AJ117" s="572"/>
      <c r="AK117" s="572"/>
      <c r="AL117" s="572"/>
      <c r="AM117" s="572"/>
      <c r="AN117" s="572"/>
      <c r="AO117" s="572"/>
      <c r="AP117" s="572"/>
      <c r="AQ117" s="572"/>
      <c r="AR117" s="572"/>
      <c r="AS117" s="572"/>
      <c r="AT117" s="572"/>
      <c r="AU117" s="572"/>
      <c r="AV117" s="572"/>
      <c r="AW117" s="572"/>
      <c r="AX117" s="572"/>
      <c r="AY117" s="572"/>
      <c r="AZ117" s="572"/>
      <c r="BA117" s="572"/>
      <c r="BB117" s="572"/>
    </row>
    <row r="118" spans="2:54" ht="18" x14ac:dyDescent="0.2">
      <c r="B118" s="572"/>
      <c r="C118" s="611"/>
      <c r="D118" s="611"/>
      <c r="E118" s="572"/>
      <c r="F118" s="572"/>
      <c r="G118" s="611"/>
      <c r="H118" s="611"/>
      <c r="I118" s="611"/>
      <c r="J118" s="572"/>
      <c r="K118" s="572"/>
      <c r="L118" s="611"/>
      <c r="M118" s="611"/>
      <c r="N118" s="611"/>
      <c r="O118" s="611"/>
      <c r="P118" s="572"/>
      <c r="Q118" s="572"/>
      <c r="R118" s="572"/>
      <c r="S118" s="572"/>
      <c r="T118" s="572"/>
      <c r="U118" s="572"/>
      <c r="V118" s="572"/>
      <c r="W118" s="572"/>
      <c r="X118" s="572"/>
      <c r="Y118" s="572"/>
      <c r="Z118" s="572"/>
      <c r="AA118" s="572"/>
      <c r="AB118" s="572"/>
      <c r="AC118" s="572"/>
      <c r="AD118" s="572"/>
      <c r="AE118" s="572"/>
      <c r="AF118" s="572"/>
      <c r="AG118" s="572"/>
      <c r="AH118" s="572"/>
      <c r="AI118" s="572"/>
      <c r="AJ118" s="572"/>
      <c r="AK118" s="572"/>
      <c r="AL118" s="572"/>
      <c r="AM118" s="572"/>
      <c r="AN118" s="572"/>
      <c r="AO118" s="572"/>
      <c r="AP118" s="572"/>
      <c r="AQ118" s="572"/>
      <c r="AR118" s="572"/>
      <c r="AS118" s="572"/>
      <c r="AT118" s="572"/>
      <c r="AU118" s="572"/>
      <c r="AV118" s="572"/>
      <c r="AW118" s="572"/>
      <c r="AX118" s="572"/>
      <c r="AY118" s="572"/>
      <c r="AZ118" s="572"/>
      <c r="BA118" s="572"/>
      <c r="BB118" s="572"/>
    </row>
    <row r="119" spans="2:54" ht="18" x14ac:dyDescent="0.2">
      <c r="B119" s="572"/>
      <c r="C119" s="611"/>
      <c r="D119" s="611"/>
      <c r="E119" s="572"/>
      <c r="F119" s="572"/>
      <c r="G119" s="611"/>
      <c r="H119" s="611"/>
      <c r="I119" s="611"/>
      <c r="J119" s="572"/>
      <c r="K119" s="572"/>
      <c r="L119" s="611"/>
      <c r="M119" s="611"/>
      <c r="N119" s="611"/>
      <c r="O119" s="611"/>
      <c r="P119" s="572"/>
      <c r="Q119" s="572"/>
      <c r="R119" s="572"/>
      <c r="S119" s="572"/>
      <c r="T119" s="572"/>
      <c r="U119" s="572"/>
      <c r="V119" s="572"/>
      <c r="W119" s="572"/>
      <c r="X119" s="572"/>
      <c r="Y119" s="572"/>
      <c r="Z119" s="572"/>
      <c r="AA119" s="572"/>
      <c r="AB119" s="572"/>
      <c r="AC119" s="572"/>
      <c r="AD119" s="572"/>
      <c r="AE119" s="572"/>
      <c r="AF119" s="572"/>
      <c r="AG119" s="572"/>
      <c r="AH119" s="572"/>
      <c r="AI119" s="572"/>
      <c r="AJ119" s="572"/>
      <c r="AK119" s="572"/>
      <c r="AL119" s="572"/>
      <c r="AM119" s="572"/>
      <c r="AN119" s="572"/>
      <c r="AO119" s="572"/>
      <c r="AP119" s="572"/>
      <c r="AQ119" s="572"/>
      <c r="AR119" s="572"/>
      <c r="AS119" s="572"/>
      <c r="AT119" s="572"/>
      <c r="AU119" s="572"/>
      <c r="AV119" s="572"/>
      <c r="AW119" s="572"/>
      <c r="AX119" s="572"/>
      <c r="AY119" s="572"/>
      <c r="AZ119" s="572"/>
      <c r="BA119" s="572"/>
      <c r="BB119" s="572"/>
    </row>
    <row r="120" spans="2:54" ht="18" x14ac:dyDescent="0.2">
      <c r="G120" s="611"/>
      <c r="H120" s="611"/>
      <c r="I120" s="611"/>
      <c r="J120" s="572"/>
      <c r="K120" s="572"/>
      <c r="L120" s="611"/>
      <c r="M120" s="611"/>
      <c r="N120" s="611"/>
      <c r="O120" s="611"/>
    </row>
  </sheetData>
  <mergeCells count="259">
    <mergeCell ref="C119:D119"/>
    <mergeCell ref="G120:I120"/>
    <mergeCell ref="L120:O120"/>
    <mergeCell ref="G119:I119"/>
    <mergeCell ref="L119:O119"/>
    <mergeCell ref="C115:D115"/>
    <mergeCell ref="G116:I116"/>
    <mergeCell ref="L116:O116"/>
    <mergeCell ref="C116:D116"/>
    <mergeCell ref="G115:I115"/>
    <mergeCell ref="C117:D117"/>
    <mergeCell ref="G118:I118"/>
    <mergeCell ref="L118:O118"/>
    <mergeCell ref="C118:D118"/>
    <mergeCell ref="G117:I117"/>
    <mergeCell ref="L117:O117"/>
    <mergeCell ref="L115:O115"/>
    <mergeCell ref="L114:O114"/>
    <mergeCell ref="C114:D114"/>
    <mergeCell ref="G113:I113"/>
    <mergeCell ref="L113:O113"/>
    <mergeCell ref="C111:D111"/>
    <mergeCell ref="G112:I112"/>
    <mergeCell ref="L112:O112"/>
    <mergeCell ref="C112:D112"/>
    <mergeCell ref="G111:I111"/>
    <mergeCell ref="L111:O111"/>
    <mergeCell ref="C113:D113"/>
    <mergeCell ref="G114:I114"/>
    <mergeCell ref="C107:D107"/>
    <mergeCell ref="G108:I108"/>
    <mergeCell ref="L108:O108"/>
    <mergeCell ref="C108:D108"/>
    <mergeCell ref="G107:I107"/>
    <mergeCell ref="L107:O107"/>
    <mergeCell ref="C109:D109"/>
    <mergeCell ref="G110:I110"/>
    <mergeCell ref="L110:O110"/>
    <mergeCell ref="C110:D110"/>
    <mergeCell ref="G109:I109"/>
    <mergeCell ref="L109:O109"/>
    <mergeCell ref="C103:D103"/>
    <mergeCell ref="G104:I104"/>
    <mergeCell ref="L104:O104"/>
    <mergeCell ref="C104:D104"/>
    <mergeCell ref="G103:I103"/>
    <mergeCell ref="L103:O103"/>
    <mergeCell ref="C105:D105"/>
    <mergeCell ref="G106:I106"/>
    <mergeCell ref="L106:O106"/>
    <mergeCell ref="C106:D106"/>
    <mergeCell ref="G105:I105"/>
    <mergeCell ref="L105:O105"/>
    <mergeCell ref="C99:D99"/>
    <mergeCell ref="G100:I100"/>
    <mergeCell ref="L100:O100"/>
    <mergeCell ref="C100:D100"/>
    <mergeCell ref="G99:I99"/>
    <mergeCell ref="L99:O99"/>
    <mergeCell ref="C101:D101"/>
    <mergeCell ref="G102:I102"/>
    <mergeCell ref="L102:O102"/>
    <mergeCell ref="C102:D102"/>
    <mergeCell ref="G101:I101"/>
    <mergeCell ref="L101:O101"/>
    <mergeCell ref="C95:D95"/>
    <mergeCell ref="G96:I96"/>
    <mergeCell ref="L96:O96"/>
    <mergeCell ref="C96:D96"/>
    <mergeCell ref="G95:I95"/>
    <mergeCell ref="L95:O95"/>
    <mergeCell ref="C97:D97"/>
    <mergeCell ref="G98:I98"/>
    <mergeCell ref="L98:O98"/>
    <mergeCell ref="C98:D98"/>
    <mergeCell ref="G97:I97"/>
    <mergeCell ref="L97:O97"/>
    <mergeCell ref="C91:D91"/>
    <mergeCell ref="G92:I92"/>
    <mergeCell ref="L92:O92"/>
    <mergeCell ref="C92:D92"/>
    <mergeCell ref="G91:I91"/>
    <mergeCell ref="L91:O91"/>
    <mergeCell ref="C93:D93"/>
    <mergeCell ref="G94:I94"/>
    <mergeCell ref="L94:O94"/>
    <mergeCell ref="C94:D94"/>
    <mergeCell ref="G93:I93"/>
    <mergeCell ref="L93:O93"/>
    <mergeCell ref="C87:D87"/>
    <mergeCell ref="G88:I88"/>
    <mergeCell ref="L88:O88"/>
    <mergeCell ref="C88:D88"/>
    <mergeCell ref="G87:I87"/>
    <mergeCell ref="L87:O87"/>
    <mergeCell ref="C89:D89"/>
    <mergeCell ref="G90:I90"/>
    <mergeCell ref="L90:O90"/>
    <mergeCell ref="C90:D90"/>
    <mergeCell ref="G89:I89"/>
    <mergeCell ref="L89:O89"/>
    <mergeCell ref="C83:D83"/>
    <mergeCell ref="G84:I84"/>
    <mergeCell ref="L84:O84"/>
    <mergeCell ref="C84:D84"/>
    <mergeCell ref="G83:I83"/>
    <mergeCell ref="L83:O83"/>
    <mergeCell ref="C85:D85"/>
    <mergeCell ref="G86:I86"/>
    <mergeCell ref="L86:O86"/>
    <mergeCell ref="C86:D86"/>
    <mergeCell ref="G85:I85"/>
    <mergeCell ref="L85:O85"/>
    <mergeCell ref="C79:D79"/>
    <mergeCell ref="G80:I80"/>
    <mergeCell ref="L80:O80"/>
    <mergeCell ref="C80:D80"/>
    <mergeCell ref="G79:I79"/>
    <mergeCell ref="L79:O79"/>
    <mergeCell ref="C81:D81"/>
    <mergeCell ref="G82:I82"/>
    <mergeCell ref="L82:O82"/>
    <mergeCell ref="C82:D82"/>
    <mergeCell ref="G81:I81"/>
    <mergeCell ref="L81:O81"/>
    <mergeCell ref="C75:D75"/>
    <mergeCell ref="G76:I76"/>
    <mergeCell ref="L76:O76"/>
    <mergeCell ref="C76:D76"/>
    <mergeCell ref="G75:I75"/>
    <mergeCell ref="L75:O75"/>
    <mergeCell ref="C77:D77"/>
    <mergeCell ref="G78:I78"/>
    <mergeCell ref="L78:O78"/>
    <mergeCell ref="C78:D78"/>
    <mergeCell ref="G77:I77"/>
    <mergeCell ref="L77:O77"/>
    <mergeCell ref="C71:D71"/>
    <mergeCell ref="G72:I72"/>
    <mergeCell ref="L72:O72"/>
    <mergeCell ref="C72:D72"/>
    <mergeCell ref="G71:I71"/>
    <mergeCell ref="L71:O71"/>
    <mergeCell ref="C73:D73"/>
    <mergeCell ref="G74:I74"/>
    <mergeCell ref="L74:O74"/>
    <mergeCell ref="C74:D74"/>
    <mergeCell ref="G73:I73"/>
    <mergeCell ref="L73:O73"/>
    <mergeCell ref="C67:D67"/>
    <mergeCell ref="G68:I68"/>
    <mergeCell ref="L68:O68"/>
    <mergeCell ref="C68:D68"/>
    <mergeCell ref="G67:I67"/>
    <mergeCell ref="L67:O67"/>
    <mergeCell ref="C69:D69"/>
    <mergeCell ref="G70:I70"/>
    <mergeCell ref="L70:O70"/>
    <mergeCell ref="C70:D70"/>
    <mergeCell ref="G69:I69"/>
    <mergeCell ref="L69:O69"/>
    <mergeCell ref="C63:D63"/>
    <mergeCell ref="G64:I64"/>
    <mergeCell ref="L64:O64"/>
    <mergeCell ref="C64:D64"/>
    <mergeCell ref="G63:I63"/>
    <mergeCell ref="L63:O63"/>
    <mergeCell ref="C65:D65"/>
    <mergeCell ref="G66:I66"/>
    <mergeCell ref="L66:O66"/>
    <mergeCell ref="C66:D66"/>
    <mergeCell ref="G65:I65"/>
    <mergeCell ref="L65:O65"/>
    <mergeCell ref="C59:D59"/>
    <mergeCell ref="G60:I60"/>
    <mergeCell ref="L60:O60"/>
    <mergeCell ref="C60:D60"/>
    <mergeCell ref="G59:I59"/>
    <mergeCell ref="L59:O59"/>
    <mergeCell ref="C61:D61"/>
    <mergeCell ref="G62:I62"/>
    <mergeCell ref="L62:O62"/>
    <mergeCell ref="C62:D62"/>
    <mergeCell ref="G61:I61"/>
    <mergeCell ref="L61:O61"/>
    <mergeCell ref="G58:I58"/>
    <mergeCell ref="G54:I54"/>
    <mergeCell ref="C42:D42"/>
    <mergeCell ref="C50:D50"/>
    <mergeCell ref="C51:D51"/>
    <mergeCell ref="C52:D52"/>
    <mergeCell ref="C48:D48"/>
    <mergeCell ref="L58:O58"/>
    <mergeCell ref="C58:D58"/>
    <mergeCell ref="G55:I55"/>
    <mergeCell ref="L55:O55"/>
    <mergeCell ref="G57:I57"/>
    <mergeCell ref="L57:O57"/>
    <mergeCell ref="G56:I56"/>
    <mergeCell ref="L56:O56"/>
    <mergeCell ref="C57:D57"/>
    <mergeCell ref="L54:O54"/>
    <mergeCell ref="J52:M52"/>
    <mergeCell ref="J50:M50"/>
    <mergeCell ref="J38:M38"/>
    <mergeCell ref="J42:M42"/>
    <mergeCell ref="G38:I39"/>
    <mergeCell ref="G42:I43"/>
    <mergeCell ref="J39:M39"/>
    <mergeCell ref="G46:I48"/>
    <mergeCell ref="H27:M27"/>
    <mergeCell ref="H28:M28"/>
    <mergeCell ref="H29:M29"/>
    <mergeCell ref="B50:B52"/>
    <mergeCell ref="G50:I52"/>
    <mergeCell ref="G32:N32"/>
    <mergeCell ref="B32:D32"/>
    <mergeCell ref="B33:B34"/>
    <mergeCell ref="G33:I34"/>
    <mergeCell ref="J34:M34"/>
    <mergeCell ref="J51:M51"/>
    <mergeCell ref="J33:M33"/>
    <mergeCell ref="B46:B48"/>
    <mergeCell ref="B42:B43"/>
    <mergeCell ref="J48:M48"/>
    <mergeCell ref="C35:D35"/>
    <mergeCell ref="J40:M40"/>
    <mergeCell ref="B38:B39"/>
    <mergeCell ref="J35:M35"/>
    <mergeCell ref="J47:M47"/>
    <mergeCell ref="J44:M44"/>
    <mergeCell ref="J46:M46"/>
    <mergeCell ref="J43:M43"/>
    <mergeCell ref="C47:D47"/>
    <mergeCell ref="C46:D46"/>
    <mergeCell ref="C39:D39"/>
    <mergeCell ref="J36:M36"/>
    <mergeCell ref="C38:D38"/>
    <mergeCell ref="C36:D36"/>
    <mergeCell ref="C34:D34"/>
    <mergeCell ref="B27:D27"/>
    <mergeCell ref="B29:D29"/>
    <mergeCell ref="C33:D33"/>
    <mergeCell ref="C43:D43"/>
    <mergeCell ref="C44:D44"/>
    <mergeCell ref="C40:D40"/>
    <mergeCell ref="B28:D28"/>
    <mergeCell ref="C16:D16"/>
    <mergeCell ref="C11:D11"/>
    <mergeCell ref="J3:M3"/>
    <mergeCell ref="H26:M26"/>
    <mergeCell ref="C7:D7"/>
    <mergeCell ref="C6:D6"/>
    <mergeCell ref="C5:D5"/>
    <mergeCell ref="C4:D4"/>
    <mergeCell ref="C3:D3"/>
    <mergeCell ref="C10:D10"/>
    <mergeCell ref="B21:D21"/>
    <mergeCell ref="C12:D14"/>
  </mergeCells>
  <phoneticPr fontId="4" type="noConversion"/>
  <pageMargins left="0.25" right="0.25" top="0.75" bottom="0.75" header="0.3" footer="0.3"/>
  <pageSetup scale="54"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7177" r:id="rId4" name="ComboBox">
              <controlPr defaultSize="0" autoFill="0" autoLine="0" autoPict="0">
                <anchor moveWithCells="1" sizeWithCells="1">
                  <from>
                    <xdr:col>8</xdr:col>
                    <xdr:colOff>1581150</xdr:colOff>
                    <xdr:row>3</xdr:row>
                    <xdr:rowOff>76200</xdr:rowOff>
                  </from>
                  <to>
                    <xdr:col>12</xdr:col>
                    <xdr:colOff>981075</xdr:colOff>
                    <xdr:row>4</xdr:row>
                    <xdr:rowOff>28575</xdr:rowOff>
                  </to>
                </anchor>
              </controlPr>
            </control>
          </mc:Choice>
        </mc:AlternateContent>
        <mc:AlternateContent xmlns:mc="http://schemas.openxmlformats.org/markup-compatibility/2006">
          <mc:Choice Requires="x14">
            <control shapeId="7178" r:id="rId5" name="Drop Down 10">
              <controlPr defaultSize="0" autoFill="0" autoLine="0" autoPict="0">
                <anchor moveWithCells="1" sizeWithCells="1">
                  <from>
                    <xdr:col>8</xdr:col>
                    <xdr:colOff>1571625</xdr:colOff>
                    <xdr:row>4</xdr:row>
                    <xdr:rowOff>76200</xdr:rowOff>
                  </from>
                  <to>
                    <xdr:col>12</xdr:col>
                    <xdr:colOff>952500</xdr:colOff>
                    <xdr:row>5</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pageSetUpPr fitToPage="1"/>
  </sheetPr>
  <dimension ref="A1:P54"/>
  <sheetViews>
    <sheetView showGridLines="0" zoomScale="75" zoomScaleNormal="75" workbookViewId="0">
      <selection activeCell="C3" sqref="C3"/>
    </sheetView>
  </sheetViews>
  <sheetFormatPr defaultColWidth="9.16796875" defaultRowHeight="14.25" x14ac:dyDescent="0.15"/>
  <cols>
    <col min="1" max="1" width="9.16796875" style="221"/>
    <col min="2" max="2" width="21.3046875" style="221" customWidth="1"/>
    <col min="3" max="3" width="20.765625" style="221" customWidth="1"/>
    <col min="4" max="4" width="5.796875" style="221" customWidth="1"/>
    <col min="5" max="5" width="20.765625" style="221" customWidth="1"/>
    <col min="6" max="7" width="9.16796875" style="221"/>
    <col min="8" max="8" width="20.765625" style="221" customWidth="1"/>
    <col min="9" max="9" width="5.66015625" style="221" customWidth="1"/>
    <col min="10" max="10" width="20.765625" style="221" customWidth="1"/>
    <col min="11" max="11" width="7.55078125" style="221" customWidth="1"/>
    <col min="12" max="12" width="8.62890625" style="221" customWidth="1"/>
    <col min="13" max="13" width="20.765625" style="221" customWidth="1"/>
    <col min="14" max="14" width="5.12109375" style="221" customWidth="1"/>
    <col min="15" max="15" width="20.765625" style="221" customWidth="1"/>
    <col min="16" max="16384" width="9.16796875" style="221"/>
  </cols>
  <sheetData>
    <row r="1" spans="1:16" ht="33" customHeight="1" x14ac:dyDescent="0.2">
      <c r="A1" s="240" t="s">
        <v>773</v>
      </c>
      <c r="D1" s="221" t="str">
        <f>"Version " &amp;version</f>
        <v>Version 4.2.3</v>
      </c>
    </row>
    <row r="2" spans="1:16" ht="15" thickBot="1" x14ac:dyDescent="0.2">
      <c r="A2" s="198" t="s">
        <v>754</v>
      </c>
    </row>
    <row r="3" spans="1:16" ht="26.25" customHeight="1" x14ac:dyDescent="0.15">
      <c r="A3" s="221" t="s">
        <v>757</v>
      </c>
      <c r="C3" s="222"/>
      <c r="E3" s="223"/>
      <c r="F3" s="224"/>
      <c r="G3" s="225"/>
      <c r="I3" s="226" t="s">
        <v>758</v>
      </c>
      <c r="J3" s="227"/>
      <c r="K3" s="227"/>
      <c r="L3" s="227"/>
      <c r="M3" s="227"/>
      <c r="N3" s="227"/>
      <c r="O3" s="228"/>
      <c r="P3" s="223"/>
    </row>
    <row r="4" spans="1:16" ht="21" customHeight="1" x14ac:dyDescent="0.15">
      <c r="E4" s="223"/>
      <c r="F4" s="229"/>
      <c r="G4" s="230"/>
      <c r="I4" s="231"/>
      <c r="J4" s="223"/>
      <c r="K4" s="223"/>
      <c r="L4" s="223"/>
      <c r="M4" s="223"/>
      <c r="N4" s="223"/>
      <c r="O4" s="232"/>
      <c r="P4" s="223"/>
    </row>
    <row r="5" spans="1:16" ht="26.25" customHeight="1" x14ac:dyDescent="0.15">
      <c r="A5" s="221" t="s">
        <v>767</v>
      </c>
      <c r="C5" s="222"/>
      <c r="E5" s="229"/>
      <c r="F5" s="224"/>
      <c r="G5" s="224"/>
      <c r="I5" s="231" t="s">
        <v>36</v>
      </c>
      <c r="J5" s="223"/>
      <c r="K5" s="223"/>
      <c r="L5" s="223"/>
      <c r="M5" s="223"/>
      <c r="N5" s="223"/>
      <c r="O5" s="232"/>
      <c r="P5" s="223"/>
    </row>
    <row r="6" spans="1:16" ht="26.25" customHeight="1" x14ac:dyDescent="0.15">
      <c r="E6" s="229"/>
      <c r="F6" s="224"/>
      <c r="G6" s="224"/>
      <c r="I6" s="231" t="s">
        <v>698</v>
      </c>
      <c r="J6" s="223"/>
      <c r="K6" s="223"/>
      <c r="L6" s="223"/>
      <c r="M6" s="223"/>
      <c r="N6" s="223"/>
      <c r="O6" s="232"/>
      <c r="P6" s="223"/>
    </row>
    <row r="7" spans="1:16" ht="26.25" customHeight="1" x14ac:dyDescent="0.15">
      <c r="A7" s="221" t="s">
        <v>759</v>
      </c>
      <c r="C7" s="222"/>
      <c r="I7" s="231" t="s">
        <v>27</v>
      </c>
      <c r="J7" s="223"/>
      <c r="K7" s="223"/>
      <c r="L7" s="223"/>
      <c r="M7" s="223"/>
      <c r="N7" s="223"/>
      <c r="O7" s="232"/>
      <c r="P7" s="223"/>
    </row>
    <row r="8" spans="1:16" ht="12.75" customHeight="1" x14ac:dyDescent="0.15">
      <c r="I8" s="231"/>
      <c r="J8" s="223"/>
      <c r="K8" s="223"/>
      <c r="L8" s="223"/>
      <c r="M8" s="223"/>
      <c r="N8" s="223"/>
      <c r="O8" s="232"/>
      <c r="P8" s="223"/>
    </row>
    <row r="9" spans="1:16" ht="26.25" customHeight="1" x14ac:dyDescent="0.15">
      <c r="A9" s="221" t="s">
        <v>768</v>
      </c>
      <c r="C9" s="222"/>
      <c r="I9" s="231" t="s">
        <v>50</v>
      </c>
      <c r="J9" s="223"/>
      <c r="K9" s="223"/>
      <c r="L9" s="223"/>
      <c r="M9" s="223"/>
      <c r="N9" s="223"/>
      <c r="O9" s="232"/>
      <c r="P9" s="223"/>
    </row>
    <row r="10" spans="1:16" ht="12.75" customHeight="1" x14ac:dyDescent="0.15">
      <c r="I10" s="231"/>
      <c r="J10" s="223"/>
      <c r="K10" s="223"/>
      <c r="L10" s="223"/>
      <c r="M10" s="223"/>
      <c r="N10" s="223"/>
      <c r="O10" s="232"/>
      <c r="P10" s="223"/>
    </row>
    <row r="11" spans="1:16" ht="26.25" customHeight="1" x14ac:dyDescent="0.15">
      <c r="C11" s="223"/>
      <c r="I11" s="231" t="s">
        <v>760</v>
      </c>
      <c r="J11" s="223"/>
      <c r="K11" s="223"/>
      <c r="L11" s="223"/>
      <c r="M11" s="223"/>
      <c r="N11" s="223"/>
      <c r="O11" s="232"/>
      <c r="P11" s="223"/>
    </row>
    <row r="12" spans="1:16" ht="12.75" customHeight="1" x14ac:dyDescent="0.15">
      <c r="I12" s="231"/>
      <c r="J12" s="223"/>
      <c r="K12" s="223"/>
      <c r="L12" s="223"/>
      <c r="M12" s="223"/>
      <c r="N12" s="223"/>
      <c r="O12" s="232"/>
      <c r="P12" s="223"/>
    </row>
    <row r="13" spans="1:16" ht="26.25" customHeight="1" x14ac:dyDescent="0.15">
      <c r="A13" s="221" t="s">
        <v>762</v>
      </c>
      <c r="C13" s="222"/>
      <c r="I13" s="231" t="s">
        <v>761</v>
      </c>
      <c r="J13" s="223"/>
      <c r="K13" s="223"/>
      <c r="L13" s="223"/>
      <c r="M13" s="223"/>
      <c r="N13" s="223"/>
      <c r="O13" s="232"/>
      <c r="P13" s="223"/>
    </row>
    <row r="14" spans="1:16" ht="25.5" customHeight="1" x14ac:dyDescent="0.15">
      <c r="A14" s="221" t="s">
        <v>763</v>
      </c>
      <c r="C14" s="233"/>
      <c r="I14" s="231"/>
      <c r="J14" s="223"/>
      <c r="K14" s="223"/>
      <c r="L14" s="223"/>
      <c r="M14" s="223"/>
      <c r="N14" s="223"/>
      <c r="O14" s="232"/>
      <c r="P14" s="223"/>
    </row>
    <row r="15" spans="1:16" ht="26.25" customHeight="1" x14ac:dyDescent="0.15">
      <c r="A15" s="221" t="s">
        <v>764</v>
      </c>
      <c r="C15" s="233"/>
      <c r="I15" s="231"/>
      <c r="J15" s="223"/>
      <c r="K15" s="223"/>
      <c r="L15" s="223"/>
      <c r="M15" s="223"/>
      <c r="N15" s="223"/>
      <c r="O15" s="232"/>
      <c r="P15" s="223"/>
    </row>
    <row r="16" spans="1:16" ht="26.25" customHeight="1" x14ac:dyDescent="0.15">
      <c r="A16" s="221" t="s">
        <v>765</v>
      </c>
      <c r="C16" s="233"/>
      <c r="I16" s="231"/>
      <c r="J16" s="223"/>
      <c r="K16" s="223"/>
      <c r="L16" s="223"/>
      <c r="M16" s="223"/>
      <c r="N16" s="223"/>
      <c r="O16" s="232"/>
      <c r="P16" s="223"/>
    </row>
    <row r="17" spans="1:15" ht="8.25" customHeight="1" x14ac:dyDescent="0.15">
      <c r="I17" s="231"/>
      <c r="J17" s="223"/>
      <c r="K17" s="223"/>
      <c r="L17" s="223"/>
      <c r="M17" s="223"/>
      <c r="N17" s="223"/>
      <c r="O17" s="232"/>
    </row>
    <row r="18" spans="1:15" ht="26.25" customHeight="1" x14ac:dyDescent="0.15">
      <c r="A18" s="221" t="s">
        <v>766</v>
      </c>
      <c r="C18" s="222"/>
      <c r="I18" s="231"/>
      <c r="J18" s="223"/>
      <c r="K18" s="223"/>
      <c r="L18" s="223"/>
      <c r="M18" s="223"/>
      <c r="N18" s="223"/>
      <c r="O18" s="232"/>
    </row>
    <row r="19" spans="1:15" ht="7.5" customHeight="1" x14ac:dyDescent="0.15">
      <c r="I19" s="231"/>
      <c r="J19" s="223"/>
      <c r="K19" s="223"/>
      <c r="L19" s="223"/>
      <c r="M19" s="223"/>
      <c r="N19" s="223"/>
      <c r="O19" s="232"/>
    </row>
    <row r="20" spans="1:15" ht="26.25" customHeight="1" thickBot="1" x14ac:dyDescent="0.2">
      <c r="A20" s="221" t="s">
        <v>769</v>
      </c>
      <c r="C20" s="222"/>
      <c r="E20" s="239"/>
      <c r="I20" s="234"/>
      <c r="J20" s="235"/>
      <c r="K20" s="235"/>
      <c r="L20" s="235"/>
      <c r="M20" s="235"/>
      <c r="N20" s="235"/>
      <c r="O20" s="236"/>
    </row>
    <row r="21" spans="1:15" ht="12.75" customHeight="1" x14ac:dyDescent="0.15">
      <c r="A21" s="221" t="s">
        <v>770</v>
      </c>
    </row>
    <row r="22" spans="1:15" ht="12.75" customHeight="1" x14ac:dyDescent="0.15"/>
    <row r="23" spans="1:15" ht="26.25" customHeight="1" x14ac:dyDescent="0.15">
      <c r="A23" s="221" t="s">
        <v>830</v>
      </c>
      <c r="C23" s="222"/>
    </row>
    <row r="24" spans="1:15" ht="8.25" customHeight="1" x14ac:dyDescent="0.15">
      <c r="C24" s="223"/>
    </row>
    <row r="25" spans="1:15" ht="26.25" customHeight="1" x14ac:dyDescent="0.15">
      <c r="A25" s="221" t="s">
        <v>831</v>
      </c>
      <c r="C25" s="222"/>
    </row>
    <row r="26" spans="1:15" ht="8.25" customHeight="1" x14ac:dyDescent="0.15">
      <c r="C26" s="223"/>
    </row>
    <row r="27" spans="1:15" ht="26.25" customHeight="1" x14ac:dyDescent="0.15">
      <c r="A27" s="221" t="s">
        <v>832</v>
      </c>
      <c r="C27" s="222"/>
    </row>
    <row r="28" spans="1:15" s="353" customFormat="1" ht="26.25" customHeight="1" x14ac:dyDescent="0.15">
      <c r="A28" s="353" t="s">
        <v>833</v>
      </c>
      <c r="C28" s="225"/>
    </row>
    <row r="29" spans="1:15" s="237" customFormat="1" ht="21" customHeight="1" x14ac:dyDescent="0.2">
      <c r="C29" s="612" t="s">
        <v>682</v>
      </c>
      <c r="D29" s="612"/>
      <c r="E29" s="612"/>
      <c r="H29" s="612" t="s">
        <v>683</v>
      </c>
      <c r="I29" s="612"/>
      <c r="J29" s="612"/>
      <c r="M29" s="612" t="s">
        <v>684</v>
      </c>
      <c r="N29" s="612"/>
      <c r="O29" s="612"/>
    </row>
    <row r="30" spans="1:15" ht="21" customHeight="1" x14ac:dyDescent="0.15">
      <c r="C30" s="238" t="s">
        <v>3</v>
      </c>
      <c r="D30" s="238"/>
      <c r="E30" s="238" t="s">
        <v>685</v>
      </c>
      <c r="F30" s="238"/>
      <c r="G30" s="238"/>
      <c r="H30" s="238" t="s">
        <v>3</v>
      </c>
      <c r="I30" s="238"/>
      <c r="J30" s="238" t="s">
        <v>685</v>
      </c>
      <c r="K30" s="238"/>
      <c r="L30" s="238"/>
      <c r="M30" s="238" t="s">
        <v>3</v>
      </c>
      <c r="N30" s="238"/>
      <c r="O30" s="238" t="s">
        <v>685</v>
      </c>
    </row>
    <row r="31" spans="1:15" ht="12.75" customHeight="1" x14ac:dyDescent="0.15"/>
    <row r="32" spans="1:15" ht="26.25" customHeight="1" x14ac:dyDescent="0.15">
      <c r="A32" s="221" t="s">
        <v>686</v>
      </c>
      <c r="C32" s="222"/>
      <c r="E32" s="222"/>
      <c r="H32" s="222"/>
      <c r="J32" s="222"/>
      <c r="M32" s="222"/>
      <c r="O32" s="222"/>
    </row>
    <row r="33" spans="1:15" ht="12.75" customHeight="1" x14ac:dyDescent="0.15"/>
    <row r="34" spans="1:15" ht="26.25" customHeight="1" x14ac:dyDescent="0.15">
      <c r="A34" s="300" t="s">
        <v>872</v>
      </c>
      <c r="C34" s="222"/>
      <c r="E34" s="222"/>
      <c r="H34" s="222"/>
      <c r="J34" s="222"/>
      <c r="M34" s="222"/>
      <c r="O34" s="222"/>
    </row>
    <row r="35" spans="1:15" ht="12.75" customHeight="1" x14ac:dyDescent="0.15"/>
    <row r="36" spans="1:15" ht="26.25" customHeight="1" x14ac:dyDescent="0.15">
      <c r="A36" s="221" t="s">
        <v>687</v>
      </c>
      <c r="C36" s="222"/>
      <c r="E36" s="222"/>
      <c r="H36" s="222"/>
      <c r="J36" s="222"/>
      <c r="M36" s="222"/>
      <c r="O36" s="222"/>
    </row>
    <row r="37" spans="1:15" ht="26.25" customHeight="1" x14ac:dyDescent="0.15">
      <c r="A37" s="221" t="s">
        <v>688</v>
      </c>
      <c r="C37" s="233"/>
      <c r="E37" s="233"/>
      <c r="H37" s="233"/>
      <c r="J37" s="233"/>
      <c r="M37" s="233"/>
      <c r="O37" s="233"/>
    </row>
    <row r="38" spans="1:15" ht="26.25" customHeight="1" x14ac:dyDescent="0.15">
      <c r="A38" s="221" t="s">
        <v>689</v>
      </c>
      <c r="C38" s="233"/>
      <c r="E38" s="233"/>
      <c r="H38" s="233"/>
      <c r="J38" s="233"/>
      <c r="M38" s="233"/>
      <c r="O38" s="233"/>
    </row>
    <row r="39" spans="1:15" ht="26.25" customHeight="1" x14ac:dyDescent="0.15">
      <c r="A39" s="221" t="s">
        <v>690</v>
      </c>
      <c r="C39" s="233"/>
      <c r="E39" s="233"/>
      <c r="H39" s="233"/>
      <c r="J39" s="233"/>
      <c r="M39" s="233"/>
      <c r="O39" s="233"/>
    </row>
    <row r="40" spans="1:15" ht="12.75" customHeight="1" x14ac:dyDescent="0.15"/>
    <row r="41" spans="1:15" ht="26.25" customHeight="1" x14ac:dyDescent="0.15">
      <c r="A41" s="221" t="s">
        <v>691</v>
      </c>
      <c r="C41" s="222"/>
      <c r="E41" s="222"/>
      <c r="H41" s="222"/>
      <c r="J41" s="222"/>
      <c r="M41" s="222"/>
      <c r="O41" s="222"/>
    </row>
    <row r="42" spans="1:15" ht="26.25" customHeight="1" x14ac:dyDescent="0.15">
      <c r="A42" s="221" t="s">
        <v>692</v>
      </c>
      <c r="C42" s="233"/>
      <c r="E42" s="233"/>
      <c r="H42" s="233"/>
      <c r="J42" s="233"/>
      <c r="M42" s="233"/>
      <c r="O42" s="233"/>
    </row>
    <row r="43" spans="1:15" ht="26.25" customHeight="1" x14ac:dyDescent="0.15">
      <c r="A43" s="221" t="s">
        <v>693</v>
      </c>
      <c r="C43" s="233"/>
      <c r="E43" s="233"/>
      <c r="H43" s="233"/>
      <c r="J43" s="233"/>
      <c r="M43" s="233"/>
      <c r="O43" s="233"/>
    </row>
    <row r="44" spans="1:15" ht="26.25" customHeight="1" x14ac:dyDescent="0.15">
      <c r="A44" s="221" t="s">
        <v>694</v>
      </c>
      <c r="C44" s="233"/>
      <c r="E44" s="233"/>
      <c r="H44" s="233"/>
      <c r="J44" s="233"/>
      <c r="M44" s="233"/>
      <c r="O44" s="233"/>
    </row>
    <row r="45" spans="1:15" ht="12.75" customHeight="1" x14ac:dyDescent="0.15">
      <c r="C45" s="223"/>
      <c r="E45" s="223"/>
      <c r="H45" s="223"/>
      <c r="J45" s="223"/>
      <c r="M45" s="223"/>
      <c r="O45" s="223"/>
    </row>
    <row r="46" spans="1:15" ht="26.25" customHeight="1" x14ac:dyDescent="0.15">
      <c r="A46" s="221" t="s">
        <v>695</v>
      </c>
      <c r="C46" s="222"/>
      <c r="H46" s="222"/>
      <c r="M46" s="233"/>
    </row>
    <row r="47" spans="1:15" ht="12.75" customHeight="1" x14ac:dyDescent="0.15"/>
    <row r="48" spans="1:15" ht="26.25" customHeight="1" x14ac:dyDescent="0.15">
      <c r="A48" s="221" t="s">
        <v>826</v>
      </c>
      <c r="E48" s="222"/>
      <c r="J48" s="222"/>
      <c r="O48" s="222"/>
    </row>
    <row r="49" spans="1:15" ht="12.75" customHeight="1" x14ac:dyDescent="0.15"/>
    <row r="50" spans="1:15" ht="26.25" customHeight="1" x14ac:dyDescent="0.15">
      <c r="A50" s="221" t="s">
        <v>827</v>
      </c>
      <c r="E50" s="222"/>
      <c r="J50" s="222"/>
      <c r="O50" s="222"/>
    </row>
    <row r="51" spans="1:15" ht="12.75" customHeight="1" x14ac:dyDescent="0.15"/>
    <row r="52" spans="1:15" ht="26.25" customHeight="1" x14ac:dyDescent="0.15">
      <c r="A52" s="221" t="s">
        <v>828</v>
      </c>
      <c r="E52" s="222"/>
      <c r="J52" s="222"/>
      <c r="O52" s="222"/>
    </row>
    <row r="54" spans="1:15" ht="25.5" customHeight="1" x14ac:dyDescent="0.15">
      <c r="A54" s="300" t="s">
        <v>970</v>
      </c>
      <c r="E54" s="222"/>
      <c r="J54" s="222"/>
      <c r="O54" s="222"/>
    </row>
  </sheetData>
  <mergeCells count="3">
    <mergeCell ref="C29:E29"/>
    <mergeCell ref="H29:J29"/>
    <mergeCell ref="M29:O29"/>
  </mergeCells>
  <phoneticPr fontId="29" type="noConversion"/>
  <pageMargins left="0.75" right="0.75" top="1" bottom="1" header="0.5" footer="0.5"/>
  <pageSetup scale="1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DU82"/>
  <sheetViews>
    <sheetView showGridLines="0" showZeros="0" zoomScaleNormal="100" zoomScaleSheetLayoutView="100" workbookViewId="0">
      <selection activeCell="D6" sqref="D6:K6"/>
    </sheetView>
  </sheetViews>
  <sheetFormatPr defaultColWidth="15.640625" defaultRowHeight="27.95" customHeight="1" x14ac:dyDescent="0.15"/>
  <cols>
    <col min="1" max="1" width="1.75" style="1" customWidth="1"/>
    <col min="2" max="2" width="14.5625" style="1" customWidth="1"/>
    <col min="3" max="3" width="6.60546875" style="2" customWidth="1"/>
    <col min="4" max="4" width="12.67578125" style="1" customWidth="1"/>
    <col min="5" max="5" width="8.08984375" style="1" customWidth="1"/>
    <col min="6" max="6" width="2.01953125" style="1" customWidth="1"/>
    <col min="7" max="7" width="5.93359375" style="1" customWidth="1"/>
    <col min="8" max="8" width="2.01953125" style="2" customWidth="1"/>
    <col min="9" max="9" width="7.28125" style="2" customWidth="1"/>
    <col min="10" max="10" width="1.75" style="2" customWidth="1"/>
    <col min="11" max="11" width="14.42578125" style="2" customWidth="1"/>
    <col min="12" max="12" width="5.66015625" style="2" customWidth="1"/>
    <col min="13" max="13" width="14.5625" style="2" customWidth="1"/>
    <col min="14" max="14" width="7.68359375" style="2" customWidth="1"/>
    <col min="15" max="15" width="2.01953125" style="2" customWidth="1"/>
    <col min="16" max="16" width="6.60546875" style="2" customWidth="1"/>
    <col min="17" max="17" width="2.01953125" style="2" customWidth="1"/>
    <col min="18" max="18" width="7.28125" style="2" customWidth="1"/>
    <col min="19" max="19" width="1.75" style="1" customWidth="1"/>
    <col min="20" max="20" width="1.75" style="3" customWidth="1"/>
    <col min="21" max="21" width="25.484375" style="3" customWidth="1"/>
    <col min="22" max="22" width="13.88671875" style="3" bestFit="1" customWidth="1"/>
    <col min="23" max="23" width="12" style="3" customWidth="1"/>
    <col min="24" max="24" width="5.390625" style="3" customWidth="1"/>
    <col min="25" max="25" width="0.5390625" style="3" customWidth="1"/>
    <col min="26" max="26" width="0.80859375" style="3" customWidth="1"/>
    <col min="27" max="27" width="8.76171875" style="3" customWidth="1"/>
    <col min="28" max="28" width="6.7421875" style="3" customWidth="1"/>
    <col min="29" max="30" width="0.80859375" style="3" customWidth="1"/>
    <col min="31" max="31" width="8.08984375" style="3" customWidth="1"/>
    <col min="32" max="32" width="5.796875" style="3" customWidth="1"/>
    <col min="33" max="33" width="0.80859375" style="3" customWidth="1"/>
    <col min="34" max="34" width="0.671875" style="3" customWidth="1"/>
    <col min="35" max="35" width="8.08984375" style="3" customWidth="1"/>
    <col min="36" max="36" width="5.12109375" style="3" customWidth="1"/>
    <col min="37" max="37" width="0.80859375" style="3" customWidth="1"/>
    <col min="38" max="38" width="8.62890625" style="3" customWidth="1"/>
    <col min="39" max="39" width="7.28125" style="3" customWidth="1"/>
    <col min="40" max="41" width="0.94140625" style="3" customWidth="1"/>
    <col min="42" max="42" width="8.08984375" style="3" customWidth="1"/>
    <col min="43" max="43" width="6.203125" style="3" customWidth="1"/>
    <col min="44" max="44" width="1.75" style="3" customWidth="1"/>
    <col min="45" max="45" width="8.359375" customWidth="1"/>
    <col min="46" max="46" width="5.796875" customWidth="1"/>
    <col min="47" max="47" width="6.47265625" customWidth="1"/>
    <col min="48" max="48" width="5.390625" customWidth="1"/>
    <col min="49" max="49" width="6.7421875" customWidth="1"/>
    <col min="50" max="50" width="7.4140625" customWidth="1"/>
    <col min="51" max="51" width="20.90234375" customWidth="1"/>
    <col min="52" max="53" width="1.75" customWidth="1"/>
    <col min="54" max="54" width="33.7109375" customWidth="1"/>
    <col min="55" max="55" width="5.796875" customWidth="1"/>
    <col min="56" max="56" width="6.47265625" customWidth="1"/>
    <col min="57" max="57" width="5.390625" customWidth="1"/>
    <col min="58" max="58" width="6.7421875" customWidth="1"/>
    <col min="59" max="59" width="7.4140625" customWidth="1"/>
    <col min="60" max="60" width="20.90234375" customWidth="1"/>
    <col min="61" max="61" width="0" hidden="1" customWidth="1"/>
    <col min="62" max="70" width="9.03515625" customWidth="1"/>
    <col min="71" max="122" width="8.8984375" customWidth="1"/>
    <col min="123" max="16384" width="15.640625" style="1"/>
  </cols>
  <sheetData>
    <row r="1" spans="1:125" ht="6" customHeight="1" thickTop="1" thickBot="1" x14ac:dyDescent="0.2">
      <c r="A1" s="4"/>
      <c r="B1" s="5"/>
      <c r="C1" s="5"/>
      <c r="D1" s="5"/>
      <c r="E1" s="5"/>
      <c r="F1" s="5"/>
      <c r="G1" s="5"/>
      <c r="H1" s="5"/>
      <c r="I1" s="5"/>
      <c r="J1" s="5"/>
      <c r="K1" s="5"/>
      <c r="L1" s="5"/>
      <c r="M1" s="5"/>
      <c r="N1" s="5"/>
      <c r="O1" s="5"/>
      <c r="P1" s="5"/>
      <c r="Q1" s="5"/>
      <c r="R1" s="5"/>
      <c r="S1" s="6"/>
      <c r="T1" s="7"/>
      <c r="U1" s="8"/>
      <c r="V1" s="8"/>
      <c r="W1" s="8"/>
      <c r="X1" s="8"/>
      <c r="Y1" s="8"/>
      <c r="Z1" s="8"/>
      <c r="AA1" s="8"/>
      <c r="AB1" s="8"/>
      <c r="AC1" s="8"/>
      <c r="AD1" s="8"/>
      <c r="AE1" s="8"/>
      <c r="AF1" s="8"/>
      <c r="AG1" s="8"/>
      <c r="AH1" s="8"/>
      <c r="AI1" s="8"/>
      <c r="AJ1" s="8"/>
      <c r="AK1" s="8"/>
      <c r="AL1" s="8"/>
      <c r="AM1" s="8"/>
      <c r="AN1" s="8"/>
      <c r="AO1" s="8"/>
      <c r="AP1" s="8"/>
      <c r="AQ1" s="8"/>
      <c r="AR1" s="9"/>
      <c r="AS1" s="25"/>
      <c r="AT1" s="2"/>
      <c r="DS1"/>
      <c r="DT1"/>
      <c r="DU1"/>
    </row>
    <row r="2" spans="1:125" ht="13.5" customHeight="1" thickBot="1" x14ac:dyDescent="0.2">
      <c r="A2" s="637" t="str">
        <f>"WATER BOILING TEST - VERSION "&amp;version&amp;" - TEST #1"</f>
        <v>WATER BOILING TEST - VERSION 4.2.3 - TEST #1</v>
      </c>
      <c r="B2" s="637"/>
      <c r="C2" s="637"/>
      <c r="D2" s="637"/>
      <c r="E2" s="637"/>
      <c r="F2" s="637"/>
      <c r="G2" s="637"/>
      <c r="H2" s="637"/>
      <c r="I2" s="637"/>
      <c r="J2" s="637"/>
      <c r="K2" s="637"/>
      <c r="L2" s="637"/>
      <c r="M2" s="637"/>
      <c r="N2" s="637"/>
      <c r="O2" s="637"/>
      <c r="P2" s="637"/>
      <c r="Q2" s="637"/>
      <c r="R2" s="637"/>
      <c r="S2" s="637"/>
      <c r="T2" s="10"/>
      <c r="U2" s="255" t="str">
        <f>"TEST #1 "&amp;D7</f>
        <v xml:space="preserve">TEST #1 </v>
      </c>
      <c r="V2" s="11"/>
      <c r="W2" s="638" t="s">
        <v>0</v>
      </c>
      <c r="X2" s="638"/>
      <c r="Y2" s="638"/>
      <c r="Z2" s="638"/>
      <c r="AA2" s="638"/>
      <c r="AB2" s="638"/>
      <c r="AC2" s="256"/>
      <c r="AD2" s="12"/>
      <c r="AE2" s="638" t="s">
        <v>1</v>
      </c>
      <c r="AF2" s="638"/>
      <c r="AG2" s="638"/>
      <c r="AH2" s="638"/>
      <c r="AI2" s="638"/>
      <c r="AJ2" s="638"/>
      <c r="AK2" s="13"/>
      <c r="AL2" s="638" t="s">
        <v>2</v>
      </c>
      <c r="AM2" s="638"/>
      <c r="AN2" s="638"/>
      <c r="AO2" s="638"/>
      <c r="AP2" s="638"/>
      <c r="AQ2" s="638"/>
      <c r="AR2" s="14"/>
    </row>
    <row r="3" spans="1:125" ht="12.75" customHeight="1" x14ac:dyDescent="0.15">
      <c r="A3" s="16"/>
      <c r="B3" s="17" t="s">
        <v>748</v>
      </c>
      <c r="C3" s="17"/>
      <c r="D3" s="17"/>
      <c r="E3" s="17"/>
      <c r="F3" s="17"/>
      <c r="G3" s="17"/>
      <c r="H3" s="17"/>
      <c r="I3" s="17"/>
      <c r="J3" s="17"/>
      <c r="K3" s="17"/>
      <c r="L3" s="17"/>
      <c r="M3" s="17"/>
      <c r="N3" s="17"/>
      <c r="O3" s="17"/>
      <c r="P3" s="17"/>
      <c r="Q3" s="17"/>
      <c r="R3" s="17"/>
      <c r="S3" s="18"/>
      <c r="T3" s="19"/>
      <c r="U3" s="20"/>
      <c r="V3" s="21"/>
      <c r="W3" s="641" t="s">
        <v>3</v>
      </c>
      <c r="X3" s="641"/>
      <c r="Y3" s="23"/>
      <c r="Z3" s="13"/>
      <c r="AA3" s="642" t="s">
        <v>4</v>
      </c>
      <c r="AB3" s="642"/>
      <c r="AC3" s="24"/>
      <c r="AD3" s="12"/>
      <c r="AE3" s="643" t="s">
        <v>3</v>
      </c>
      <c r="AF3" s="643"/>
      <c r="AG3" s="23"/>
      <c r="AH3" s="13"/>
      <c r="AI3" s="642" t="s">
        <v>4</v>
      </c>
      <c r="AJ3" s="642"/>
      <c r="AK3" s="12"/>
      <c r="AL3" s="639" t="s">
        <v>3</v>
      </c>
      <c r="AM3" s="639"/>
      <c r="AN3" s="23"/>
      <c r="AO3" s="13"/>
      <c r="AP3" s="640" t="s">
        <v>5</v>
      </c>
      <c r="AQ3" s="640"/>
      <c r="AR3" s="14"/>
    </row>
    <row r="4" spans="1:125" ht="12.75" customHeight="1" x14ac:dyDescent="0.15">
      <c r="A4" s="25"/>
      <c r="B4" s="26" t="s">
        <v>749</v>
      </c>
      <c r="C4" s="26"/>
      <c r="D4" s="26"/>
      <c r="E4" s="26"/>
      <c r="F4" s="26"/>
      <c r="G4" s="26"/>
      <c r="H4" s="26"/>
      <c r="I4" s="26"/>
      <c r="J4" s="27"/>
      <c r="K4" s="27"/>
      <c r="L4" s="27"/>
      <c r="M4" s="27"/>
      <c r="N4" s="27"/>
      <c r="O4" s="27"/>
      <c r="P4" s="27"/>
      <c r="Q4" s="27"/>
      <c r="R4" s="27"/>
      <c r="S4" s="15"/>
      <c r="T4" s="28"/>
      <c r="U4" s="29"/>
      <c r="V4" s="30"/>
      <c r="W4" s="31"/>
      <c r="X4" s="31"/>
      <c r="Y4" s="32"/>
      <c r="Z4" s="33"/>
      <c r="AA4" s="631" t="s">
        <v>6</v>
      </c>
      <c r="AB4" s="631"/>
      <c r="AC4" s="24"/>
      <c r="AD4" s="12"/>
      <c r="AE4" s="31"/>
      <c r="AF4" s="31"/>
      <c r="AG4" s="32"/>
      <c r="AH4" s="33"/>
      <c r="AI4" s="631" t="s">
        <v>6</v>
      </c>
      <c r="AJ4" s="631"/>
      <c r="AK4" s="12"/>
      <c r="AL4" s="633"/>
      <c r="AM4" s="633"/>
      <c r="AN4" s="34"/>
      <c r="AO4" s="31"/>
      <c r="AP4" s="644"/>
      <c r="AQ4" s="644"/>
      <c r="AR4" s="14"/>
    </row>
    <row r="5" spans="1:125" ht="13.5" customHeight="1" thickBot="1" x14ac:dyDescent="0.2">
      <c r="A5" s="25"/>
      <c r="B5" s="35" t="s">
        <v>7</v>
      </c>
      <c r="D5" s="2"/>
      <c r="E5" s="2"/>
      <c r="F5" s="2"/>
      <c r="G5" s="2"/>
      <c r="S5" s="15"/>
      <c r="T5" s="28"/>
      <c r="U5" s="36" t="s">
        <v>8</v>
      </c>
      <c r="V5" s="37" t="s">
        <v>9</v>
      </c>
      <c r="W5" s="38" t="s">
        <v>10</v>
      </c>
      <c r="X5" s="38" t="s">
        <v>11</v>
      </c>
      <c r="Y5" s="39"/>
      <c r="Z5" s="38"/>
      <c r="AA5" s="38" t="s">
        <v>10</v>
      </c>
      <c r="AB5" s="37" t="s">
        <v>11</v>
      </c>
      <c r="AC5" s="24"/>
      <c r="AD5" s="12"/>
      <c r="AE5" s="38" t="s">
        <v>10</v>
      </c>
      <c r="AF5" s="38" t="s">
        <v>11</v>
      </c>
      <c r="AG5" s="40"/>
      <c r="AH5" s="41"/>
      <c r="AI5" s="38" t="s">
        <v>10</v>
      </c>
      <c r="AJ5" s="37" t="s">
        <v>11</v>
      </c>
      <c r="AK5" s="12"/>
      <c r="AL5" s="38" t="s">
        <v>10</v>
      </c>
      <c r="AM5" s="38" t="s">
        <v>11</v>
      </c>
      <c r="AN5" s="40"/>
      <c r="AO5" s="41"/>
      <c r="AP5" s="38" t="s">
        <v>10</v>
      </c>
      <c r="AQ5" s="37" t="s">
        <v>11</v>
      </c>
      <c r="AR5" s="14"/>
    </row>
    <row r="6" spans="1:125" ht="15.75" customHeight="1" x14ac:dyDescent="0.2">
      <c r="A6" s="25"/>
      <c r="B6" s="2" t="s">
        <v>12</v>
      </c>
      <c r="D6" s="629"/>
      <c r="E6" s="629"/>
      <c r="F6" s="629"/>
      <c r="G6" s="629"/>
      <c r="H6" s="629"/>
      <c r="I6" s="629"/>
      <c r="J6" s="629"/>
      <c r="K6" s="629"/>
      <c r="M6" s="635" t="s">
        <v>834</v>
      </c>
      <c r="N6" s="635"/>
      <c r="O6" s="635"/>
      <c r="P6" s="635"/>
      <c r="Q6" s="265"/>
      <c r="R6" s="265"/>
      <c r="S6" s="15"/>
      <c r="T6" s="28"/>
      <c r="U6" s="30" t="s">
        <v>716</v>
      </c>
      <c r="V6" s="24" t="s">
        <v>13</v>
      </c>
      <c r="W6" s="42"/>
      <c r="X6" s="43" t="s">
        <v>14</v>
      </c>
      <c r="Y6" s="44"/>
      <c r="Z6" s="43"/>
      <c r="AA6" s="42"/>
      <c r="AB6" s="45" t="s">
        <v>15</v>
      </c>
      <c r="AC6" s="45"/>
      <c r="AD6" s="12"/>
      <c r="AE6" s="42"/>
      <c r="AF6" s="43" t="s">
        <v>16</v>
      </c>
      <c r="AG6" s="46"/>
      <c r="AH6" s="13"/>
      <c r="AI6" s="42"/>
      <c r="AJ6" s="45" t="s">
        <v>17</v>
      </c>
      <c r="AK6" s="12"/>
      <c r="AL6" s="42"/>
      <c r="AM6" s="43" t="s">
        <v>18</v>
      </c>
      <c r="AN6" s="46"/>
      <c r="AO6" s="13"/>
      <c r="AP6" s="42"/>
      <c r="AQ6" s="45" t="s">
        <v>19</v>
      </c>
      <c r="AR6" s="14"/>
    </row>
    <row r="7" spans="1:125" ht="15.75" customHeight="1" x14ac:dyDescent="0.2">
      <c r="A7" s="25"/>
      <c r="B7" s="2" t="s">
        <v>27</v>
      </c>
      <c r="D7" s="629"/>
      <c r="E7" s="629"/>
      <c r="F7" s="629"/>
      <c r="G7" s="629"/>
      <c r="H7" s="629"/>
      <c r="I7" s="629"/>
      <c r="J7" s="629"/>
      <c r="K7" s="629"/>
      <c r="M7" s="636" t="s">
        <v>969</v>
      </c>
      <c r="N7" s="636"/>
      <c r="O7" s="636"/>
      <c r="P7" s="636"/>
      <c r="Q7" s="265"/>
      <c r="R7" s="265"/>
      <c r="S7" s="15"/>
      <c r="T7" s="28"/>
      <c r="U7" s="30" t="s">
        <v>873</v>
      </c>
      <c r="V7" s="24" t="s">
        <v>20</v>
      </c>
      <c r="W7" s="47"/>
      <c r="X7" s="43" t="s">
        <v>21</v>
      </c>
      <c r="Y7" s="44"/>
      <c r="Z7" s="43"/>
      <c r="AA7" s="47"/>
      <c r="AB7" s="45" t="s">
        <v>22</v>
      </c>
      <c r="AC7" s="45"/>
      <c r="AD7" s="12"/>
      <c r="AE7" s="47"/>
      <c r="AF7" s="43" t="s">
        <v>23</v>
      </c>
      <c r="AG7" s="46"/>
      <c r="AH7" s="13"/>
      <c r="AI7" s="47"/>
      <c r="AJ7" s="45" t="s">
        <v>24</v>
      </c>
      <c r="AK7" s="12"/>
      <c r="AL7" s="47"/>
      <c r="AM7" s="43" t="s">
        <v>25</v>
      </c>
      <c r="AN7" s="46"/>
      <c r="AO7" s="13"/>
      <c r="AP7" s="47"/>
      <c r="AQ7" s="45" t="s">
        <v>26</v>
      </c>
      <c r="AR7" s="14"/>
    </row>
    <row r="8" spans="1:125" ht="15.75" customHeight="1" x14ac:dyDescent="0.2">
      <c r="A8" s="25"/>
      <c r="B8" s="2" t="s">
        <v>36</v>
      </c>
      <c r="D8" s="628"/>
      <c r="E8" s="629"/>
      <c r="F8" s="629"/>
      <c r="G8" s="629"/>
      <c r="H8" s="629"/>
      <c r="I8" s="629"/>
      <c r="J8" s="629"/>
      <c r="K8" s="629"/>
      <c r="M8" s="634" t="s">
        <v>953</v>
      </c>
      <c r="N8" s="634"/>
      <c r="O8" s="634"/>
      <c r="P8" s="634"/>
      <c r="Q8" s="265"/>
      <c r="R8" s="265"/>
      <c r="S8" s="15"/>
      <c r="T8" s="28"/>
      <c r="U8" s="30" t="s">
        <v>28</v>
      </c>
      <c r="V8" s="24" t="s">
        <v>29</v>
      </c>
      <c r="W8" s="48"/>
      <c r="X8" s="49" t="s">
        <v>30</v>
      </c>
      <c r="Y8" s="50"/>
      <c r="Z8" s="49"/>
      <c r="AA8" s="48"/>
      <c r="AB8" s="51" t="s">
        <v>31</v>
      </c>
      <c r="AC8" s="51"/>
      <c r="AD8" s="52"/>
      <c r="AE8" s="48"/>
      <c r="AF8" s="49" t="s">
        <v>32</v>
      </c>
      <c r="AG8" s="53"/>
      <c r="AH8" s="54"/>
      <c r="AI8" s="48"/>
      <c r="AJ8" s="45" t="s">
        <v>33</v>
      </c>
      <c r="AK8" s="12"/>
      <c r="AL8" s="48"/>
      <c r="AM8" s="43" t="s">
        <v>34</v>
      </c>
      <c r="AN8" s="46"/>
      <c r="AO8" s="13"/>
      <c r="AP8" s="48"/>
      <c r="AQ8" s="45" t="s">
        <v>35</v>
      </c>
      <c r="AR8" s="14"/>
    </row>
    <row r="9" spans="1:125" ht="15.75" customHeight="1" x14ac:dyDescent="0.2">
      <c r="A9" s="25"/>
      <c r="B9" s="2" t="s">
        <v>50</v>
      </c>
      <c r="D9" s="630">
        <f>'General Information'!C7</f>
        <v>0</v>
      </c>
      <c r="E9" s="630"/>
      <c r="F9" s="630"/>
      <c r="G9" s="630"/>
      <c r="H9" s="630"/>
      <c r="I9" s="630"/>
      <c r="J9" s="630"/>
      <c r="K9" s="630"/>
      <c r="M9" s="265"/>
      <c r="N9" s="265"/>
      <c r="O9" s="265"/>
      <c r="P9" s="265"/>
      <c r="Q9" s="265"/>
      <c r="R9" s="265"/>
      <c r="S9" s="15"/>
      <c r="T9" s="28"/>
      <c r="U9" s="55" t="s">
        <v>37</v>
      </c>
      <c r="V9" s="24" t="s">
        <v>29</v>
      </c>
      <c r="W9" s="48"/>
      <c r="X9" s="49" t="s">
        <v>185</v>
      </c>
      <c r="Y9" s="50"/>
      <c r="Z9" s="49"/>
      <c r="AA9" s="48"/>
      <c r="AB9" s="51" t="s">
        <v>38</v>
      </c>
      <c r="AC9" s="51"/>
      <c r="AD9" s="52"/>
      <c r="AE9" s="48"/>
      <c r="AF9" s="49" t="s">
        <v>39</v>
      </c>
      <c r="AG9" s="53"/>
      <c r="AH9" s="54"/>
      <c r="AI9" s="48"/>
      <c r="AJ9" s="45" t="s">
        <v>40</v>
      </c>
      <c r="AK9" s="12"/>
      <c r="AL9" s="48"/>
      <c r="AM9" s="56" t="s">
        <v>41</v>
      </c>
      <c r="AN9" s="57"/>
      <c r="AO9" s="58"/>
      <c r="AP9" s="48"/>
      <c r="AQ9" s="59" t="s">
        <v>42</v>
      </c>
      <c r="AR9" s="14"/>
    </row>
    <row r="10" spans="1:125" ht="15.75" customHeight="1" x14ac:dyDescent="0.2">
      <c r="A10" s="25"/>
      <c r="B10" s="2" t="s">
        <v>43</v>
      </c>
      <c r="D10" s="632">
        <f>'General Information'!C10</f>
        <v>0</v>
      </c>
      <c r="E10" s="632"/>
      <c r="F10" s="632"/>
      <c r="G10" s="632"/>
      <c r="H10" s="632"/>
      <c r="I10" s="632"/>
      <c r="J10" s="632"/>
      <c r="K10" s="632"/>
      <c r="S10" s="15"/>
      <c r="T10" s="28"/>
      <c r="U10" s="55" t="s">
        <v>44</v>
      </c>
      <c r="V10" s="24" t="s">
        <v>29</v>
      </c>
      <c r="W10" s="48"/>
      <c r="X10" s="49" t="s">
        <v>186</v>
      </c>
      <c r="Y10" s="50"/>
      <c r="Z10" s="49"/>
      <c r="AA10" s="48"/>
      <c r="AB10" s="51" t="s">
        <v>45</v>
      </c>
      <c r="AC10" s="51"/>
      <c r="AD10" s="52"/>
      <c r="AE10" s="48"/>
      <c r="AF10" s="49" t="s">
        <v>46</v>
      </c>
      <c r="AG10" s="53"/>
      <c r="AH10" s="54"/>
      <c r="AI10" s="48"/>
      <c r="AJ10" s="45" t="s">
        <v>47</v>
      </c>
      <c r="AK10" s="12"/>
      <c r="AL10" s="48"/>
      <c r="AM10" s="56" t="s">
        <v>48</v>
      </c>
      <c r="AN10" s="57"/>
      <c r="AO10" s="58"/>
      <c r="AP10" s="48"/>
      <c r="AQ10" s="59" t="s">
        <v>49</v>
      </c>
      <c r="AR10" s="14"/>
    </row>
    <row r="11" spans="1:125" ht="15.75" customHeight="1" x14ac:dyDescent="0.2">
      <c r="A11" s="25"/>
      <c r="B11" s="2" t="s">
        <v>58</v>
      </c>
      <c r="D11" s="645">
        <f>'General Information'!J3</f>
        <v>0</v>
      </c>
      <c r="E11" s="645"/>
      <c r="F11" s="645"/>
      <c r="G11" s="645"/>
      <c r="H11" s="645"/>
      <c r="I11" s="645"/>
      <c r="J11" s="645"/>
      <c r="K11" s="645"/>
      <c r="S11" s="15"/>
      <c r="T11" s="28"/>
      <c r="U11" s="55" t="s">
        <v>51</v>
      </c>
      <c r="V11" s="24" t="s">
        <v>29</v>
      </c>
      <c r="W11" s="48"/>
      <c r="X11" s="49" t="s">
        <v>52</v>
      </c>
      <c r="Y11" s="50"/>
      <c r="Z11" s="49"/>
      <c r="AA11" s="48"/>
      <c r="AB11" s="51" t="s">
        <v>53</v>
      </c>
      <c r="AC11" s="51"/>
      <c r="AD11" s="52"/>
      <c r="AE11" s="48"/>
      <c r="AF11" s="49" t="s">
        <v>54</v>
      </c>
      <c r="AG11" s="53"/>
      <c r="AH11" s="54"/>
      <c r="AI11" s="48"/>
      <c r="AJ11" s="45" t="s">
        <v>55</v>
      </c>
      <c r="AK11" s="12"/>
      <c r="AL11" s="48"/>
      <c r="AM11" s="56" t="s">
        <v>56</v>
      </c>
      <c r="AN11" s="57"/>
      <c r="AO11" s="58"/>
      <c r="AP11" s="48"/>
      <c r="AQ11" s="59" t="s">
        <v>57</v>
      </c>
      <c r="AR11" s="14"/>
    </row>
    <row r="12" spans="1:125" ht="15.75" customHeight="1" x14ac:dyDescent="0.2">
      <c r="A12" s="25"/>
      <c r="B12" s="2"/>
      <c r="D12" s="60"/>
      <c r="E12" s="60"/>
      <c r="F12" s="60"/>
      <c r="G12" s="60"/>
      <c r="H12" s="60"/>
      <c r="I12" s="60"/>
      <c r="J12" s="60"/>
      <c r="S12" s="15"/>
      <c r="T12" s="28"/>
      <c r="U12" s="30" t="s">
        <v>59</v>
      </c>
      <c r="V12" s="24" t="s">
        <v>20</v>
      </c>
      <c r="W12" s="47"/>
      <c r="X12" s="43" t="s">
        <v>60</v>
      </c>
      <c r="Y12" s="44"/>
      <c r="Z12" s="43"/>
      <c r="AA12" s="47"/>
      <c r="AB12" s="45" t="s">
        <v>61</v>
      </c>
      <c r="AC12" s="45"/>
      <c r="AD12" s="12"/>
      <c r="AE12" s="47"/>
      <c r="AF12" s="43" t="s">
        <v>62</v>
      </c>
      <c r="AG12" s="46"/>
      <c r="AH12" s="13"/>
      <c r="AI12" s="47"/>
      <c r="AJ12" s="45" t="s">
        <v>63</v>
      </c>
      <c r="AK12" s="12"/>
      <c r="AL12" s="47"/>
      <c r="AM12" s="56" t="s">
        <v>64</v>
      </c>
      <c r="AN12" s="57"/>
      <c r="AO12" s="61"/>
      <c r="AP12" s="47"/>
      <c r="AQ12" s="59" t="s">
        <v>65</v>
      </c>
      <c r="AR12" s="14"/>
    </row>
    <row r="13" spans="1:125" ht="15.75" customHeight="1" thickBot="1" x14ac:dyDescent="0.25">
      <c r="A13" s="25"/>
      <c r="B13" s="62" t="s">
        <v>80</v>
      </c>
      <c r="C13" s="63"/>
      <c r="D13" s="64"/>
      <c r="E13" s="65"/>
      <c r="F13" s="64"/>
      <c r="G13" s="64"/>
      <c r="H13" s="64"/>
      <c r="I13" s="64"/>
      <c r="J13" s="64"/>
      <c r="K13" s="66"/>
      <c r="L13" s="66"/>
      <c r="M13" s="66"/>
      <c r="N13" s="66"/>
      <c r="O13" s="66"/>
      <c r="P13" s="66"/>
      <c r="Q13" s="66"/>
      <c r="R13" s="66"/>
      <c r="S13" s="15"/>
      <c r="T13" s="28"/>
      <c r="U13" s="55" t="s">
        <v>66</v>
      </c>
      <c r="V13" s="24" t="s">
        <v>20</v>
      </c>
      <c r="W13" s="47"/>
      <c r="X13" s="43" t="s">
        <v>67</v>
      </c>
      <c r="Y13" s="44"/>
      <c r="Z13" s="43"/>
      <c r="AA13" s="47"/>
      <c r="AB13" s="45" t="s">
        <v>68</v>
      </c>
      <c r="AC13" s="45"/>
      <c r="AD13" s="12"/>
      <c r="AE13" s="47"/>
      <c r="AF13" s="43" t="s">
        <v>69</v>
      </c>
      <c r="AG13" s="46"/>
      <c r="AH13" s="13"/>
      <c r="AI13" s="47"/>
      <c r="AJ13" s="45" t="s">
        <v>70</v>
      </c>
      <c r="AK13" s="12"/>
      <c r="AL13" s="47"/>
      <c r="AM13" s="56" t="s">
        <v>71</v>
      </c>
      <c r="AN13" s="57"/>
      <c r="AO13" s="58"/>
      <c r="AP13" s="47"/>
      <c r="AQ13" s="59" t="s">
        <v>72</v>
      </c>
      <c r="AR13" s="14"/>
    </row>
    <row r="14" spans="1:125" ht="15.75" customHeight="1" x14ac:dyDescent="0.2">
      <c r="A14" s="25"/>
      <c r="B14" s="624" t="s">
        <v>88</v>
      </c>
      <c r="C14" s="624"/>
      <c r="D14" s="624"/>
      <c r="E14" s="67" t="s">
        <v>89</v>
      </c>
      <c r="F14" s="67"/>
      <c r="G14" s="67" t="s">
        <v>90</v>
      </c>
      <c r="H14" s="68"/>
      <c r="I14" s="69" t="s">
        <v>11</v>
      </c>
      <c r="J14" s="68"/>
      <c r="K14" s="68" t="s">
        <v>88</v>
      </c>
      <c r="L14" s="68"/>
      <c r="M14" s="68"/>
      <c r="N14" s="67" t="s">
        <v>89</v>
      </c>
      <c r="O14" s="67"/>
      <c r="P14" s="68" t="s">
        <v>90</v>
      </c>
      <c r="Q14" s="68"/>
      <c r="R14" s="69" t="s">
        <v>11</v>
      </c>
      <c r="S14" s="15"/>
      <c r="T14" s="28"/>
      <c r="U14" s="55" t="s">
        <v>73</v>
      </c>
      <c r="V14" s="24" t="s">
        <v>20</v>
      </c>
      <c r="W14" s="47"/>
      <c r="X14" s="43" t="s">
        <v>74</v>
      </c>
      <c r="Y14" s="44"/>
      <c r="Z14" s="43"/>
      <c r="AA14" s="47"/>
      <c r="AB14" s="45" t="s">
        <v>75</v>
      </c>
      <c r="AC14" s="45"/>
      <c r="AD14" s="12"/>
      <c r="AE14" s="47"/>
      <c r="AF14" s="43" t="s">
        <v>76</v>
      </c>
      <c r="AG14" s="46"/>
      <c r="AH14" s="13"/>
      <c r="AI14" s="47"/>
      <c r="AJ14" s="45" t="s">
        <v>77</v>
      </c>
      <c r="AK14" s="12"/>
      <c r="AL14" s="47"/>
      <c r="AM14" s="56" t="s">
        <v>78</v>
      </c>
      <c r="AN14" s="57"/>
      <c r="AO14" s="58"/>
      <c r="AP14" s="47"/>
      <c r="AQ14" s="59" t="s">
        <v>79</v>
      </c>
      <c r="AR14" s="14"/>
    </row>
    <row r="15" spans="1:125" ht="15.75" customHeight="1" x14ac:dyDescent="0.2">
      <c r="A15" s="25"/>
      <c r="B15" s="623" t="s">
        <v>702</v>
      </c>
      <c r="C15" s="623"/>
      <c r="D15" s="623"/>
      <c r="E15" s="73"/>
      <c r="F15" s="74"/>
      <c r="G15" s="2" t="s">
        <v>29</v>
      </c>
      <c r="J15" s="75"/>
      <c r="K15" s="623" t="s">
        <v>93</v>
      </c>
      <c r="L15" s="623"/>
      <c r="M15" s="623"/>
      <c r="N15" s="196"/>
      <c r="O15" s="74"/>
      <c r="P15" s="22" t="s">
        <v>20</v>
      </c>
      <c r="R15" s="43" t="s">
        <v>94</v>
      </c>
      <c r="S15" s="15"/>
      <c r="T15" s="28"/>
      <c r="U15" s="55" t="s">
        <v>81</v>
      </c>
      <c r="V15" s="24" t="s">
        <v>20</v>
      </c>
      <c r="W15" s="47"/>
      <c r="X15" s="43" t="s">
        <v>82</v>
      </c>
      <c r="Y15" s="44"/>
      <c r="Z15" s="43"/>
      <c r="AA15" s="47"/>
      <c r="AB15" s="45" t="s">
        <v>83</v>
      </c>
      <c r="AC15" s="45"/>
      <c r="AD15" s="12"/>
      <c r="AE15" s="47"/>
      <c r="AF15" s="43" t="s">
        <v>84</v>
      </c>
      <c r="AG15" s="46"/>
      <c r="AH15" s="13"/>
      <c r="AI15" s="47"/>
      <c r="AJ15" s="45" t="s">
        <v>85</v>
      </c>
      <c r="AK15" s="12"/>
      <c r="AL15" s="47"/>
      <c r="AM15" s="56" t="s">
        <v>86</v>
      </c>
      <c r="AN15" s="57"/>
      <c r="AO15" s="58"/>
      <c r="AP15" s="47"/>
      <c r="AQ15" s="59" t="s">
        <v>87</v>
      </c>
      <c r="AR15" s="14"/>
    </row>
    <row r="16" spans="1:125" ht="15.6" customHeight="1" x14ac:dyDescent="0.15">
      <c r="A16" s="25"/>
      <c r="B16" s="623" t="s">
        <v>722</v>
      </c>
      <c r="C16" s="623"/>
      <c r="D16" s="623"/>
      <c r="E16" s="74">
        <v>1</v>
      </c>
      <c r="F16" s="74"/>
      <c r="G16" s="2"/>
      <c r="J16" s="75"/>
      <c r="K16" s="623" t="s">
        <v>99</v>
      </c>
      <c r="L16" s="623"/>
      <c r="M16" s="623"/>
      <c r="N16" s="196"/>
      <c r="O16" s="74"/>
      <c r="P16" s="22" t="s">
        <v>20</v>
      </c>
      <c r="R16" s="43" t="s">
        <v>100</v>
      </c>
      <c r="S16" s="15"/>
      <c r="T16" s="28"/>
      <c r="U16" s="55" t="s">
        <v>91</v>
      </c>
      <c r="V16" s="24" t="s">
        <v>92</v>
      </c>
      <c r="W16" s="626"/>
      <c r="X16" s="626"/>
      <c r="Y16" s="70"/>
      <c r="Z16" s="71"/>
      <c r="AA16" s="72"/>
      <c r="AB16" s="45"/>
      <c r="AC16" s="45"/>
      <c r="AD16" s="12"/>
      <c r="AE16" s="626"/>
      <c r="AF16" s="626"/>
      <c r="AG16" s="46"/>
      <c r="AH16" s="13"/>
      <c r="AI16" s="72"/>
      <c r="AJ16" s="21"/>
      <c r="AK16" s="12"/>
      <c r="AL16" s="626"/>
      <c r="AM16" s="626"/>
      <c r="AN16" s="46"/>
      <c r="AO16" s="13"/>
      <c r="AP16" s="13"/>
      <c r="AQ16" s="21"/>
      <c r="AR16" s="14"/>
    </row>
    <row r="17" spans="1:49" ht="15.75" customHeight="1" x14ac:dyDescent="0.2">
      <c r="A17" s="25"/>
      <c r="B17" s="1" t="s">
        <v>772</v>
      </c>
      <c r="E17" s="625"/>
      <c r="F17" s="625"/>
      <c r="G17" s="625"/>
      <c r="J17" s="75"/>
      <c r="K17" s="623" t="s">
        <v>104</v>
      </c>
      <c r="L17" s="623"/>
      <c r="M17" s="623"/>
      <c r="N17" s="196"/>
      <c r="O17" s="74"/>
      <c r="P17" s="22" t="s">
        <v>20</v>
      </c>
      <c r="R17" s="43" t="s">
        <v>105</v>
      </c>
      <c r="S17" s="15"/>
      <c r="T17" s="28"/>
      <c r="U17" s="30" t="s">
        <v>95</v>
      </c>
      <c r="V17" s="24" t="s">
        <v>20</v>
      </c>
      <c r="W17" s="76"/>
      <c r="X17" s="2"/>
      <c r="Y17" s="77"/>
      <c r="Z17" s="2"/>
      <c r="AA17" s="47"/>
      <c r="AB17" s="45" t="s">
        <v>96</v>
      </c>
      <c r="AC17" s="45"/>
      <c r="AD17" s="12"/>
      <c r="AE17" s="76"/>
      <c r="AF17" s="43"/>
      <c r="AG17" s="46"/>
      <c r="AH17" s="13"/>
      <c r="AI17" s="78">
        <f>AA17</f>
        <v>0</v>
      </c>
      <c r="AJ17" s="45" t="s">
        <v>97</v>
      </c>
      <c r="AK17" s="12"/>
      <c r="AL17" s="2"/>
      <c r="AM17" s="43"/>
      <c r="AN17" s="46"/>
      <c r="AO17" s="13"/>
      <c r="AP17" s="47"/>
      <c r="AQ17" s="45" t="s">
        <v>98</v>
      </c>
      <c r="AR17" s="14"/>
    </row>
    <row r="18" spans="1:49" ht="15" customHeight="1" x14ac:dyDescent="0.2">
      <c r="A18" s="25"/>
      <c r="B18" s="623" t="s">
        <v>815</v>
      </c>
      <c r="C18" s="623"/>
      <c r="D18" s="623"/>
      <c r="E18" s="400"/>
      <c r="F18" s="87"/>
      <c r="G18" s="2" t="s">
        <v>113</v>
      </c>
      <c r="I18" s="22" t="s">
        <v>929</v>
      </c>
      <c r="J18" s="75"/>
      <c r="K18" s="623" t="s">
        <v>108</v>
      </c>
      <c r="L18" s="623"/>
      <c r="M18" s="623"/>
      <c r="N18" s="196"/>
      <c r="O18" s="74"/>
      <c r="P18" s="22" t="s">
        <v>20</v>
      </c>
      <c r="R18" s="43" t="s">
        <v>109</v>
      </c>
      <c r="S18" s="15"/>
      <c r="T18" s="28"/>
      <c r="U18" s="30" t="s">
        <v>791</v>
      </c>
      <c r="V18" s="24" t="s">
        <v>781</v>
      </c>
      <c r="W18" s="76"/>
      <c r="X18" s="2"/>
      <c r="Y18" s="77"/>
      <c r="Z18" s="2"/>
      <c r="AA18" s="455"/>
      <c r="AB18" s="45" t="s">
        <v>793</v>
      </c>
      <c r="AC18" s="45"/>
      <c r="AD18" s="12"/>
      <c r="AE18" s="76"/>
      <c r="AF18" s="43"/>
      <c r="AG18" s="46"/>
      <c r="AH18" s="13"/>
      <c r="AI18" s="398"/>
      <c r="AJ18" s="45" t="s">
        <v>796</v>
      </c>
      <c r="AK18" s="12"/>
      <c r="AL18" s="2"/>
      <c r="AM18" s="43"/>
      <c r="AN18" s="46"/>
      <c r="AO18" s="13"/>
      <c r="AP18" s="398"/>
      <c r="AQ18" s="45" t="s">
        <v>799</v>
      </c>
      <c r="AR18" s="14"/>
      <c r="AU18" s="71"/>
      <c r="AV18" s="71"/>
      <c r="AW18" s="71"/>
    </row>
    <row r="19" spans="1:49" ht="15" customHeight="1" x14ac:dyDescent="0.2">
      <c r="A19" s="25"/>
      <c r="B19" s="623" t="s">
        <v>101</v>
      </c>
      <c r="C19" s="623"/>
      <c r="D19" s="623"/>
      <c r="E19" s="83">
        <f>'General Information'!L21</f>
        <v>0</v>
      </c>
      <c r="F19" s="84"/>
      <c r="G19" s="2" t="s">
        <v>102</v>
      </c>
      <c r="I19" s="22" t="s">
        <v>103</v>
      </c>
      <c r="J19" s="75"/>
      <c r="K19" s="623" t="s">
        <v>114</v>
      </c>
      <c r="L19" s="623"/>
      <c r="M19" s="623"/>
      <c r="N19" s="196"/>
      <c r="O19" s="74"/>
      <c r="P19" s="22" t="s">
        <v>20</v>
      </c>
      <c r="R19" s="43" t="s">
        <v>115</v>
      </c>
      <c r="S19" s="15"/>
      <c r="T19" s="10"/>
      <c r="U19" s="251" t="s">
        <v>792</v>
      </c>
      <c r="V19" s="24" t="s">
        <v>781</v>
      </c>
      <c r="W19" s="76"/>
      <c r="X19" s="2"/>
      <c r="Y19" s="77"/>
      <c r="Z19" s="2">
        <v>10</v>
      </c>
      <c r="AA19" s="398"/>
      <c r="AB19" s="45" t="s">
        <v>794</v>
      </c>
      <c r="AC19" s="45"/>
      <c r="AD19" s="12"/>
      <c r="AE19" s="76"/>
      <c r="AF19" s="43"/>
      <c r="AG19" s="46"/>
      <c r="AH19" s="13"/>
      <c r="AI19" s="398"/>
      <c r="AJ19" s="45" t="s">
        <v>797</v>
      </c>
      <c r="AK19" s="12"/>
      <c r="AL19" s="2"/>
      <c r="AM19" s="43"/>
      <c r="AN19" s="46"/>
      <c r="AO19" s="13"/>
      <c r="AP19" s="398"/>
      <c r="AQ19" s="45" t="s">
        <v>800</v>
      </c>
      <c r="AR19" s="14"/>
      <c r="AU19" s="43"/>
      <c r="AV19" s="369"/>
      <c r="AW19" s="71"/>
    </row>
    <row r="20" spans="1:49" ht="15" customHeight="1" x14ac:dyDescent="0.2">
      <c r="A20" s="25"/>
      <c r="B20" s="623" t="s">
        <v>106</v>
      </c>
      <c r="C20" s="623"/>
      <c r="D20" s="623"/>
      <c r="E20" s="85">
        <f>'General Information'!L22</f>
        <v>0</v>
      </c>
      <c r="F20" s="84"/>
      <c r="G20" s="2" t="s">
        <v>102</v>
      </c>
      <c r="I20" s="22" t="s">
        <v>107</v>
      </c>
      <c r="J20" s="75"/>
      <c r="K20" s="623" t="s">
        <v>117</v>
      </c>
      <c r="L20" s="623"/>
      <c r="M20" s="623"/>
      <c r="N20" s="195">
        <f>'General Information'!C20</f>
        <v>0</v>
      </c>
      <c r="O20" s="74"/>
      <c r="P20" s="22" t="s">
        <v>29</v>
      </c>
      <c r="R20" s="43" t="s">
        <v>118</v>
      </c>
      <c r="S20" s="15"/>
      <c r="T20" s="10"/>
      <c r="U20" s="251" t="s">
        <v>789</v>
      </c>
      <c r="V20" s="24" t="s">
        <v>790</v>
      </c>
      <c r="W20" s="371"/>
      <c r="X20" s="372"/>
      <c r="Y20" s="374"/>
      <c r="Z20" s="372"/>
      <c r="AA20" s="399"/>
      <c r="AB20" s="45" t="s">
        <v>795</v>
      </c>
      <c r="AC20" s="45"/>
      <c r="AD20" s="370"/>
      <c r="AE20" s="373"/>
      <c r="AF20" s="372"/>
      <c r="AG20" s="46"/>
      <c r="AH20" s="13"/>
      <c r="AI20" s="398"/>
      <c r="AJ20" s="45" t="s">
        <v>798</v>
      </c>
      <c r="AK20" s="82"/>
      <c r="AL20" s="2"/>
      <c r="AM20" s="43"/>
      <c r="AN20" s="46"/>
      <c r="AO20" s="13"/>
      <c r="AP20" s="398"/>
      <c r="AQ20" s="45" t="s">
        <v>801</v>
      </c>
      <c r="AR20" s="14"/>
    </row>
    <row r="21" spans="1:49" ht="15" customHeight="1" x14ac:dyDescent="0.2">
      <c r="A21" s="25"/>
      <c r="B21" s="627" t="s">
        <v>783</v>
      </c>
      <c r="C21" s="627"/>
      <c r="D21" s="627"/>
      <c r="E21" s="414"/>
      <c r="F21" s="87"/>
      <c r="I21" s="1"/>
      <c r="J21" s="75"/>
      <c r="K21" s="96" t="s">
        <v>780</v>
      </c>
      <c r="L21" s="43"/>
      <c r="M21" s="43"/>
      <c r="N21" s="454"/>
      <c r="O21" s="43"/>
      <c r="P21" s="43" t="s">
        <v>781</v>
      </c>
      <c r="Q21" s="43"/>
      <c r="R21" s="43" t="s">
        <v>786</v>
      </c>
      <c r="S21" s="15"/>
      <c r="T21" s="10"/>
      <c r="U21" s="436" t="s">
        <v>943</v>
      </c>
      <c r="V21" s="437" t="s">
        <v>29</v>
      </c>
      <c r="W21" s="373"/>
      <c r="X21" s="372"/>
      <c r="Y21" s="372"/>
      <c r="Z21" s="438"/>
      <c r="AA21" s="456"/>
      <c r="AB21" s="439" t="s">
        <v>944</v>
      </c>
      <c r="AC21" s="45"/>
      <c r="AD21" s="82"/>
      <c r="AE21" s="371"/>
      <c r="AF21" s="372"/>
      <c r="AG21" s="372"/>
      <c r="AH21" s="441"/>
      <c r="AI21" s="456"/>
      <c r="AJ21" s="439" t="s">
        <v>945</v>
      </c>
      <c r="AK21" s="369"/>
      <c r="AL21" s="440"/>
      <c r="AM21" s="372"/>
      <c r="AN21" s="374"/>
      <c r="AO21" s="372"/>
      <c r="AP21" s="456"/>
      <c r="AQ21" s="439" t="s">
        <v>946</v>
      </c>
      <c r="AR21" s="14"/>
    </row>
    <row r="22" spans="1:49" ht="15" customHeight="1" x14ac:dyDescent="0.15">
      <c r="A22" s="25"/>
      <c r="B22" s="250" t="s">
        <v>782</v>
      </c>
      <c r="C22" s="243"/>
      <c r="D22" s="243"/>
      <c r="E22" s="83">
        <f>E20*(1-E18)-(E18*((N20-E15)*4.2+2260))</f>
        <v>0</v>
      </c>
      <c r="F22" s="87"/>
      <c r="G22" s="2" t="s">
        <v>102</v>
      </c>
      <c r="I22" s="22" t="s">
        <v>928</v>
      </c>
      <c r="J22" s="75"/>
      <c r="K22" s="96"/>
      <c r="L22" s="43"/>
      <c r="M22" s="244" t="s">
        <v>784</v>
      </c>
      <c r="N22" s="454"/>
      <c r="O22" s="43"/>
      <c r="P22" s="43" t="s">
        <v>781</v>
      </c>
      <c r="Q22" s="43"/>
      <c r="R22" s="43" t="s">
        <v>787</v>
      </c>
      <c r="S22" s="15"/>
      <c r="T22" s="10"/>
      <c r="U22" s="251" t="s">
        <v>954</v>
      </c>
      <c r="V22" s="24" t="s">
        <v>20</v>
      </c>
      <c r="W22" s="76"/>
      <c r="X22" s="2"/>
      <c r="Y22" s="77"/>
      <c r="Z22" s="2"/>
      <c r="AA22" s="398"/>
      <c r="AB22" s="389" t="s">
        <v>914</v>
      </c>
      <c r="AC22" s="45"/>
      <c r="AD22" s="12"/>
      <c r="AE22" s="76"/>
      <c r="AF22" s="43"/>
      <c r="AG22" s="46"/>
      <c r="AH22" s="13"/>
      <c r="AI22" s="398"/>
      <c r="AJ22" s="452" t="s">
        <v>968</v>
      </c>
      <c r="AK22" s="12"/>
      <c r="AL22" s="2"/>
      <c r="AM22" s="43"/>
      <c r="AN22" s="46"/>
      <c r="AO22" s="13"/>
      <c r="AP22" s="398"/>
      <c r="AQ22" s="391" t="s">
        <v>916</v>
      </c>
      <c r="AR22" s="14"/>
    </row>
    <row r="23" spans="1:49" ht="15" customHeight="1" x14ac:dyDescent="0.15">
      <c r="A23" s="25"/>
      <c r="B23" s="622" t="s">
        <v>736</v>
      </c>
      <c r="C23" s="622"/>
      <c r="D23" s="622"/>
      <c r="E23" s="83">
        <f>'General Information'!L11</f>
        <v>0</v>
      </c>
      <c r="F23" s="2"/>
      <c r="G23" s="2" t="s">
        <v>102</v>
      </c>
      <c r="J23" s="75"/>
      <c r="K23" s="96"/>
      <c r="L23" s="43"/>
      <c r="M23" s="244" t="s">
        <v>785</v>
      </c>
      <c r="N23" s="454"/>
      <c r="O23" s="43"/>
      <c r="P23" s="43" t="s">
        <v>790</v>
      </c>
      <c r="Q23" s="43"/>
      <c r="R23" s="43" t="s">
        <v>788</v>
      </c>
      <c r="S23" s="15"/>
      <c r="T23" s="10"/>
      <c r="U23" s="251" t="s">
        <v>955</v>
      </c>
      <c r="V23" s="24" t="s">
        <v>20</v>
      </c>
      <c r="W23" s="76"/>
      <c r="X23" s="2"/>
      <c r="Y23" s="77"/>
      <c r="Z23" s="2">
        <v>10</v>
      </c>
      <c r="AA23" s="398"/>
      <c r="AB23" s="390" t="s">
        <v>911</v>
      </c>
      <c r="AC23" s="45"/>
      <c r="AD23" s="12"/>
      <c r="AE23" s="76"/>
      <c r="AF23" s="43"/>
      <c r="AG23" s="46"/>
      <c r="AH23" s="13"/>
      <c r="AI23" s="398"/>
      <c r="AJ23" s="358" t="s">
        <v>912</v>
      </c>
      <c r="AK23" s="12"/>
      <c r="AL23" s="2"/>
      <c r="AM23" s="43"/>
      <c r="AN23" s="46"/>
      <c r="AO23" s="13"/>
      <c r="AP23" s="398"/>
      <c r="AQ23" s="391" t="s">
        <v>913</v>
      </c>
      <c r="AR23" s="14"/>
    </row>
    <row r="24" spans="1:49" ht="15.75" customHeight="1" thickBot="1" x14ac:dyDescent="0.2">
      <c r="A24" s="25"/>
      <c r="D24" s="97"/>
      <c r="E24" s="98"/>
      <c r="F24" s="2"/>
      <c r="G24" s="2"/>
      <c r="K24" s="96"/>
      <c r="L24" s="43"/>
      <c r="M24" s="43"/>
      <c r="N24" s="43"/>
      <c r="O24" s="43"/>
      <c r="P24" s="43"/>
      <c r="Q24" s="43"/>
      <c r="R24" s="43"/>
      <c r="S24" s="15"/>
      <c r="T24" s="10"/>
      <c r="U24" s="442" t="s">
        <v>956</v>
      </c>
      <c r="V24" s="37" t="s">
        <v>20</v>
      </c>
      <c r="W24" s="79"/>
      <c r="X24" s="80"/>
      <c r="Y24" s="81"/>
      <c r="Z24" s="80"/>
      <c r="AA24" s="443"/>
      <c r="AB24" s="444" t="s">
        <v>908</v>
      </c>
      <c r="AC24" s="445"/>
      <c r="AD24" s="446"/>
      <c r="AE24" s="79"/>
      <c r="AF24" s="80"/>
      <c r="AG24" s="447"/>
      <c r="AH24" s="448"/>
      <c r="AI24" s="443"/>
      <c r="AJ24" s="449" t="s">
        <v>909</v>
      </c>
      <c r="AK24" s="446"/>
      <c r="AL24" s="79"/>
      <c r="AM24" s="80"/>
      <c r="AN24" s="447"/>
      <c r="AO24" s="448"/>
      <c r="AP24" s="443"/>
      <c r="AQ24" s="450" t="s">
        <v>910</v>
      </c>
      <c r="AR24" s="14"/>
    </row>
    <row r="25" spans="1:49" ht="15.75" customHeight="1" thickBot="1" x14ac:dyDescent="0.2">
      <c r="A25" s="25"/>
      <c r="B25" s="99" t="s">
        <v>737</v>
      </c>
      <c r="C25" s="100"/>
      <c r="D25" s="101"/>
      <c r="E25" s="646"/>
      <c r="F25" s="646"/>
      <c r="G25" s="646"/>
      <c r="H25" s="646"/>
      <c r="I25" s="646"/>
      <c r="J25" s="646"/>
      <c r="K25" s="646"/>
      <c r="L25" s="646"/>
      <c r="M25" s="646"/>
      <c r="N25" s="646"/>
      <c r="O25" s="646"/>
      <c r="P25" s="646"/>
      <c r="Q25" s="646"/>
      <c r="R25" s="647"/>
      <c r="S25" s="15"/>
      <c r="T25" s="10"/>
      <c r="U25" s="41"/>
      <c r="V25" s="41"/>
      <c r="W25" s="41"/>
      <c r="X25" s="41"/>
      <c r="Y25" s="41"/>
      <c r="Z25" s="41"/>
      <c r="AA25" s="41"/>
      <c r="AB25" s="41"/>
      <c r="AC25" s="41"/>
      <c r="AD25" s="41"/>
      <c r="AE25" s="41"/>
      <c r="AF25" s="41"/>
      <c r="AG25" s="41"/>
      <c r="AH25" s="41"/>
      <c r="AI25" s="41"/>
      <c r="AJ25" s="420"/>
      <c r="AK25" s="41"/>
      <c r="AL25" s="41"/>
      <c r="AM25" s="41"/>
      <c r="AN25" s="41"/>
      <c r="AO25" s="41"/>
      <c r="AP25" s="41"/>
      <c r="AQ25" s="41"/>
      <c r="AR25" s="14"/>
    </row>
    <row r="26" spans="1:49" ht="15.75" customHeight="1" x14ac:dyDescent="0.15">
      <c r="A26" s="25"/>
      <c r="B26" s="616"/>
      <c r="C26" s="617"/>
      <c r="D26" s="617"/>
      <c r="E26" s="617"/>
      <c r="F26" s="617"/>
      <c r="G26" s="617"/>
      <c r="H26" s="617"/>
      <c r="I26" s="617"/>
      <c r="J26" s="617"/>
      <c r="K26" s="617"/>
      <c r="L26" s="617"/>
      <c r="M26" s="617"/>
      <c r="N26" s="617"/>
      <c r="O26" s="617"/>
      <c r="P26" s="617"/>
      <c r="Q26" s="617"/>
      <c r="R26" s="618"/>
      <c r="S26" s="15"/>
      <c r="T26" s="10"/>
      <c r="U26" s="377"/>
      <c r="V26" s="13"/>
      <c r="W26" s="86" t="s">
        <v>110</v>
      </c>
      <c r="X26" s="13"/>
      <c r="Y26" s="23"/>
      <c r="Z26" s="13"/>
      <c r="AA26" s="86" t="s">
        <v>111</v>
      </c>
      <c r="AB26" s="13"/>
      <c r="AC26" s="13"/>
      <c r="AD26" s="21"/>
      <c r="AE26" s="118" t="s">
        <v>112</v>
      </c>
      <c r="AF26" s="13"/>
      <c r="AG26" s="13"/>
      <c r="AH26" s="13"/>
      <c r="AI26" s="13"/>
      <c r="AJ26" s="13"/>
      <c r="AK26" s="13"/>
      <c r="AL26" s="13"/>
      <c r="AM26" s="13"/>
      <c r="AN26" s="13"/>
      <c r="AO26" s="13"/>
      <c r="AP26" s="13"/>
      <c r="AQ26" s="13"/>
      <c r="AR26" s="14"/>
    </row>
    <row r="27" spans="1:49" ht="15.75" customHeight="1" x14ac:dyDescent="0.15">
      <c r="A27" s="25"/>
      <c r="B27" s="616"/>
      <c r="C27" s="617"/>
      <c r="D27" s="617"/>
      <c r="E27" s="617"/>
      <c r="F27" s="617"/>
      <c r="G27" s="617"/>
      <c r="H27" s="617"/>
      <c r="I27" s="617"/>
      <c r="J27" s="617"/>
      <c r="K27" s="617"/>
      <c r="L27" s="617"/>
      <c r="M27" s="617"/>
      <c r="N27" s="617"/>
      <c r="O27" s="617"/>
      <c r="P27" s="617"/>
      <c r="Q27" s="617"/>
      <c r="R27" s="618"/>
      <c r="S27" s="15"/>
      <c r="T27" s="10"/>
      <c r="U27" s="378" t="s">
        <v>116</v>
      </c>
      <c r="V27" s="89" t="s">
        <v>9</v>
      </c>
      <c r="W27" s="89" t="s">
        <v>10</v>
      </c>
      <c r="X27" s="89" t="s">
        <v>11</v>
      </c>
      <c r="Y27" s="46"/>
      <c r="Z27" s="13"/>
      <c r="AA27" s="89" t="s">
        <v>10</v>
      </c>
      <c r="AB27" s="89" t="s">
        <v>11</v>
      </c>
      <c r="AC27" s="89"/>
      <c r="AD27" s="21"/>
      <c r="AE27" s="90" t="s">
        <v>116</v>
      </c>
      <c r="AF27" s="13"/>
      <c r="AG27" s="13"/>
      <c r="AH27" s="13"/>
      <c r="AI27" s="13"/>
      <c r="AJ27" s="13"/>
      <c r="AK27" s="13"/>
      <c r="AL27" s="13"/>
      <c r="AM27" s="89" t="s">
        <v>9</v>
      </c>
      <c r="AN27" s="13"/>
      <c r="AO27" s="13"/>
      <c r="AP27" s="89" t="s">
        <v>10</v>
      </c>
      <c r="AQ27" s="89" t="s">
        <v>11</v>
      </c>
      <c r="AR27" s="14"/>
    </row>
    <row r="28" spans="1:49" ht="15.75" customHeight="1" x14ac:dyDescent="0.2">
      <c r="A28" s="25"/>
      <c r="B28" s="616"/>
      <c r="C28" s="617"/>
      <c r="D28" s="617"/>
      <c r="E28" s="617"/>
      <c r="F28" s="617"/>
      <c r="G28" s="617"/>
      <c r="H28" s="617"/>
      <c r="I28" s="617"/>
      <c r="J28" s="617"/>
      <c r="K28" s="617"/>
      <c r="L28" s="617"/>
      <c r="M28" s="617"/>
      <c r="N28" s="617"/>
      <c r="O28" s="617"/>
      <c r="P28" s="617"/>
      <c r="Q28" s="617"/>
      <c r="R28" s="618"/>
      <c r="S28" s="15"/>
      <c r="T28" s="10"/>
      <c r="U28" s="379" t="s">
        <v>874</v>
      </c>
      <c r="V28" s="92" t="s">
        <v>20</v>
      </c>
      <c r="W28" s="93">
        <f>W7-AA7</f>
        <v>0</v>
      </c>
      <c r="X28" s="56" t="s">
        <v>119</v>
      </c>
      <c r="Y28" s="57"/>
      <c r="Z28" s="61"/>
      <c r="AA28" s="93">
        <f>AE7-AI7</f>
        <v>0</v>
      </c>
      <c r="AB28" s="56" t="s">
        <v>120</v>
      </c>
      <c r="AC28" s="56"/>
      <c r="AD28" s="21"/>
      <c r="AE28" s="95" t="s">
        <v>876</v>
      </c>
      <c r="AF28" s="61"/>
      <c r="AG28" s="61"/>
      <c r="AH28" s="61"/>
      <c r="AI28" s="61"/>
      <c r="AJ28" s="61"/>
      <c r="AK28" s="61"/>
      <c r="AL28" s="61"/>
      <c r="AM28" s="92" t="s">
        <v>20</v>
      </c>
      <c r="AN28" s="61"/>
      <c r="AO28" s="61"/>
      <c r="AP28" s="93">
        <f>AL7-AP7</f>
        <v>0</v>
      </c>
      <c r="AQ28" s="56" t="s">
        <v>121</v>
      </c>
      <c r="AR28" s="14"/>
    </row>
    <row r="29" spans="1:49" ht="15.75" customHeight="1" x14ac:dyDescent="0.2">
      <c r="A29" s="25"/>
      <c r="B29" s="616"/>
      <c r="C29" s="617"/>
      <c r="D29" s="617"/>
      <c r="E29" s="617"/>
      <c r="F29" s="617"/>
      <c r="G29" s="617"/>
      <c r="H29" s="617"/>
      <c r="I29" s="617"/>
      <c r="J29" s="617"/>
      <c r="K29" s="617"/>
      <c r="L29" s="617"/>
      <c r="M29" s="617"/>
      <c r="N29" s="617"/>
      <c r="O29" s="617"/>
      <c r="P29" s="617"/>
      <c r="Q29" s="617"/>
      <c r="R29" s="618"/>
      <c r="S29" s="15"/>
      <c r="T29" s="10"/>
      <c r="U29" s="379" t="s">
        <v>122</v>
      </c>
      <c r="V29" s="92" t="s">
        <v>20</v>
      </c>
      <c r="W29" s="93">
        <f>AA17-$N$19</f>
        <v>0</v>
      </c>
      <c r="X29" s="56" t="s">
        <v>971</v>
      </c>
      <c r="Y29" s="57"/>
      <c r="Z29" s="61"/>
      <c r="AA29" s="93">
        <f>IF(AA28=0,0,AI17-$N$19)</f>
        <v>0</v>
      </c>
      <c r="AB29" s="56" t="s">
        <v>124</v>
      </c>
      <c r="AC29" s="56"/>
      <c r="AD29" s="94"/>
      <c r="AE29" s="95" t="s">
        <v>125</v>
      </c>
      <c r="AF29" s="61"/>
      <c r="AG29" s="61"/>
      <c r="AH29" s="61"/>
      <c r="AI29" s="61"/>
      <c r="AJ29" s="61"/>
      <c r="AK29" s="61"/>
      <c r="AL29" s="61"/>
      <c r="AM29" s="92" t="s">
        <v>20</v>
      </c>
      <c r="AN29" s="61"/>
      <c r="AO29" s="61"/>
      <c r="AP29" s="93">
        <f>(AP17-$N$19)-W29</f>
        <v>0</v>
      </c>
      <c r="AQ29" s="56" t="s">
        <v>126</v>
      </c>
      <c r="AR29" s="14"/>
    </row>
    <row r="30" spans="1:49" ht="15.75" customHeight="1" x14ac:dyDescent="0.2">
      <c r="A30" s="25"/>
      <c r="B30" s="616"/>
      <c r="C30" s="617"/>
      <c r="D30" s="617"/>
      <c r="E30" s="617"/>
      <c r="F30" s="617"/>
      <c r="G30" s="617"/>
      <c r="H30" s="617"/>
      <c r="I30" s="617"/>
      <c r="J30" s="617"/>
      <c r="K30" s="617"/>
      <c r="L30" s="617"/>
      <c r="M30" s="617"/>
      <c r="N30" s="617"/>
      <c r="O30" s="617"/>
      <c r="P30" s="617"/>
      <c r="Q30" s="617"/>
      <c r="R30" s="618"/>
      <c r="S30" s="15"/>
      <c r="T30" s="10"/>
      <c r="U30" s="379" t="s">
        <v>875</v>
      </c>
      <c r="V30" s="92" t="s">
        <v>20</v>
      </c>
      <c r="W30" s="327" t="e">
        <f>(W28*($E$20*(1-$E$18)-$E$18*(4.186*($N$20-$E$15)+2257))-W29*$E23)/$E$20</f>
        <v>#DIV/0!</v>
      </c>
      <c r="X30" s="328" t="s">
        <v>127</v>
      </c>
      <c r="Y30" s="329"/>
      <c r="Z30" s="330"/>
      <c r="AA30" s="435">
        <f>IF(AA28=0,0,(AA28*($E$20*(1-$E$18)-$E$18*(4.186*($N$20-$E$15)+2257))-AA29*$E23)/$E$20)</f>
        <v>0</v>
      </c>
      <c r="AB30" s="328" t="s">
        <v>128</v>
      </c>
      <c r="AC30" s="328"/>
      <c r="AD30" s="331"/>
      <c r="AE30" s="332" t="s">
        <v>875</v>
      </c>
      <c r="AF30" s="330"/>
      <c r="AG30" s="330"/>
      <c r="AH30" s="330"/>
      <c r="AI30" s="330"/>
      <c r="AJ30" s="330"/>
      <c r="AK30" s="330"/>
      <c r="AL30" s="330"/>
      <c r="AM30" s="333" t="s">
        <v>20</v>
      </c>
      <c r="AN30" s="330"/>
      <c r="AO30" s="330"/>
      <c r="AP30" s="327" t="e">
        <f>(AP28*($E$20*(1-$E$18)-$E$18*(4.186*($N$20-$E$15)+2257))-AP29*$E23)/$E$20</f>
        <v>#DIV/0!</v>
      </c>
      <c r="AQ30" s="56" t="s">
        <v>129</v>
      </c>
      <c r="AR30" s="14"/>
    </row>
    <row r="31" spans="1:49" ht="15.75" customHeight="1" x14ac:dyDescent="0.2">
      <c r="A31" s="25"/>
      <c r="B31" s="616"/>
      <c r="C31" s="617"/>
      <c r="D31" s="617"/>
      <c r="E31" s="617"/>
      <c r="F31" s="617"/>
      <c r="G31" s="617"/>
      <c r="H31" s="617"/>
      <c r="I31" s="617"/>
      <c r="J31" s="617"/>
      <c r="K31" s="617"/>
      <c r="L31" s="617"/>
      <c r="M31" s="617"/>
      <c r="N31" s="617"/>
      <c r="O31" s="617"/>
      <c r="P31" s="617"/>
      <c r="Q31" s="617"/>
      <c r="R31" s="618"/>
      <c r="S31" s="15"/>
      <c r="T31" s="10"/>
      <c r="U31" s="379" t="s">
        <v>130</v>
      </c>
      <c r="V31" s="92" t="s">
        <v>20</v>
      </c>
      <c r="W31" s="93">
        <f>SUM(W12:W15)-SUM(AA12:AA15)</f>
        <v>0</v>
      </c>
      <c r="X31" s="56" t="s">
        <v>131</v>
      </c>
      <c r="Y31" s="57"/>
      <c r="Z31" s="61"/>
      <c r="AA31" s="93">
        <f>SUM(AE12:AE15)-SUM(AI12:AI15)</f>
        <v>0</v>
      </c>
      <c r="AB31" s="56" t="s">
        <v>132</v>
      </c>
      <c r="AC31" s="56"/>
      <c r="AD31" s="94"/>
      <c r="AE31" s="95" t="s">
        <v>133</v>
      </c>
      <c r="AF31" s="61"/>
      <c r="AG31" s="61"/>
      <c r="AH31" s="61"/>
      <c r="AI31" s="61"/>
      <c r="AJ31" s="61"/>
      <c r="AK31" s="61"/>
      <c r="AL31" s="61"/>
      <c r="AM31" s="92" t="s">
        <v>20</v>
      </c>
      <c r="AN31" s="61"/>
      <c r="AO31" s="61"/>
      <c r="AP31" s="93">
        <f>(AL12-AP12)+(AL13-AP13)+(AL14-AP14)+(AL15-AP15)</f>
        <v>0</v>
      </c>
      <c r="AQ31" s="56" t="s">
        <v>134</v>
      </c>
      <c r="AR31" s="14"/>
    </row>
    <row r="32" spans="1:49" ht="15.75" customHeight="1" x14ac:dyDescent="0.2">
      <c r="A32" s="25"/>
      <c r="B32" s="616"/>
      <c r="C32" s="617"/>
      <c r="D32" s="617"/>
      <c r="E32" s="617"/>
      <c r="F32" s="617"/>
      <c r="G32" s="617"/>
      <c r="H32" s="617"/>
      <c r="I32" s="617"/>
      <c r="J32" s="617"/>
      <c r="K32" s="617"/>
      <c r="L32" s="617"/>
      <c r="M32" s="617"/>
      <c r="N32" s="617"/>
      <c r="O32" s="617"/>
      <c r="P32" s="617"/>
      <c r="Q32" s="617"/>
      <c r="R32" s="618"/>
      <c r="S32" s="15"/>
      <c r="T32" s="10"/>
      <c r="U32" s="379" t="s">
        <v>135</v>
      </c>
      <c r="V32" s="92" t="s">
        <v>20</v>
      </c>
      <c r="W32" s="93" t="e">
        <f>((AA12-$N15)*(AA8-W8)/($N$20-W8)+(AA13-$N16)*(AA9-W9)/($N$20-W9)+(AA14-$N17)*(AA10-W10)/($N$20-W10)+(AA15-$N18)*(AA11-W11)/($N$20-W11))</f>
        <v>#DIV/0!</v>
      </c>
      <c r="X32" s="56" t="s">
        <v>136</v>
      </c>
      <c r="Y32" s="57"/>
      <c r="Z32" s="61"/>
      <c r="AA32" s="93" t="e">
        <f>((AI12-$N15)*(AI8-AE8)/($N$20-AE8)+(AI13-$N16)*(AI9-AE9)/($N$20-AE9)+(AI14-$N17)*(AI10-AE10)/($N$20-AE10)+(AI15-$N18)*(AI11-AE11)/($N$20-AE11))</f>
        <v>#DIV/0!</v>
      </c>
      <c r="AB32" s="56" t="s">
        <v>137</v>
      </c>
      <c r="AC32" s="56"/>
      <c r="AD32" s="94"/>
      <c r="AE32" s="95" t="s">
        <v>138</v>
      </c>
      <c r="AF32" s="61"/>
      <c r="AG32" s="61"/>
      <c r="AH32" s="61"/>
      <c r="AI32" s="61"/>
      <c r="AJ32" s="61"/>
      <c r="AK32" s="61"/>
      <c r="AL32" s="61"/>
      <c r="AM32" s="92" t="s">
        <v>20</v>
      </c>
      <c r="AN32" s="61"/>
      <c r="AO32" s="61"/>
      <c r="AP32" s="93">
        <f>(AP12-$N$15+((AP9-25)/(N20-25))*(AP13-N16)+((AP10-25)/(N20-25))*(AP14-N17)+((AP11-25)/(N20-25))*(AP15-N18))</f>
        <v>0</v>
      </c>
      <c r="AQ32" s="56" t="s">
        <v>139</v>
      </c>
      <c r="AR32" s="14"/>
    </row>
    <row r="33" spans="1:122" ht="15.75" customHeight="1" x14ac:dyDescent="0.2">
      <c r="A33" s="25"/>
      <c r="B33" s="616"/>
      <c r="C33" s="617"/>
      <c r="D33" s="617"/>
      <c r="E33" s="617"/>
      <c r="F33" s="617"/>
      <c r="G33" s="617"/>
      <c r="H33" s="617"/>
      <c r="I33" s="617"/>
      <c r="J33" s="617"/>
      <c r="K33" s="617"/>
      <c r="L33" s="617"/>
      <c r="M33" s="617"/>
      <c r="N33" s="617"/>
      <c r="O33" s="617"/>
      <c r="P33" s="617"/>
      <c r="Q33" s="617"/>
      <c r="R33" s="618"/>
      <c r="S33" s="15"/>
      <c r="T33" s="10"/>
      <c r="U33" s="379" t="s">
        <v>140</v>
      </c>
      <c r="V33" s="92" t="s">
        <v>141</v>
      </c>
      <c r="W33" s="93">
        <f>(AA6-W6)*1440</f>
        <v>0</v>
      </c>
      <c r="X33" s="56" t="s">
        <v>142</v>
      </c>
      <c r="Y33" s="57"/>
      <c r="Z33" s="61"/>
      <c r="AA33" s="93">
        <f>(AI6-AE6)*1440</f>
        <v>0</v>
      </c>
      <c r="AB33" s="56" t="s">
        <v>143</v>
      </c>
      <c r="AC33" s="56"/>
      <c r="AD33" s="94"/>
      <c r="AE33" s="95" t="s">
        <v>144</v>
      </c>
      <c r="AF33" s="61"/>
      <c r="AG33" s="61"/>
      <c r="AH33" s="61"/>
      <c r="AI33" s="61"/>
      <c r="AJ33" s="61"/>
      <c r="AK33" s="61"/>
      <c r="AL33" s="61"/>
      <c r="AM33" s="92" t="s">
        <v>141</v>
      </c>
      <c r="AN33" s="61"/>
      <c r="AO33" s="61"/>
      <c r="AP33" s="93">
        <f>(AP6-AL6)*1440</f>
        <v>0</v>
      </c>
      <c r="AQ33" s="56" t="s">
        <v>145</v>
      </c>
      <c r="AR33" s="14"/>
    </row>
    <row r="34" spans="1:122" ht="15.75" customHeight="1" x14ac:dyDescent="0.2">
      <c r="A34" s="25"/>
      <c r="B34" s="616"/>
      <c r="C34" s="617"/>
      <c r="D34" s="617"/>
      <c r="E34" s="617"/>
      <c r="F34" s="617"/>
      <c r="G34" s="617"/>
      <c r="H34" s="617"/>
      <c r="I34" s="617"/>
      <c r="J34" s="617"/>
      <c r="K34" s="617"/>
      <c r="L34" s="617"/>
      <c r="M34" s="617"/>
      <c r="N34" s="617"/>
      <c r="O34" s="617"/>
      <c r="P34" s="617"/>
      <c r="Q34" s="617"/>
      <c r="R34" s="618"/>
      <c r="S34" s="15"/>
      <c r="T34" s="10"/>
      <c r="U34" s="379" t="s">
        <v>146</v>
      </c>
      <c r="V34" s="92" t="s">
        <v>141</v>
      </c>
      <c r="W34" s="327" t="e">
        <f>W33*75/(N20-W8)</f>
        <v>#DIV/0!</v>
      </c>
      <c r="X34" s="56" t="s">
        <v>147</v>
      </c>
      <c r="Y34" s="57"/>
      <c r="Z34" s="61"/>
      <c r="AA34" s="327" t="e">
        <f>AA33*75/(N20-AE8)</f>
        <v>#DIV/0!</v>
      </c>
      <c r="AB34" s="56" t="s">
        <v>148</v>
      </c>
      <c r="AC34" s="56"/>
      <c r="AD34" s="94"/>
      <c r="AE34" s="95" t="s">
        <v>149</v>
      </c>
      <c r="AF34" s="61"/>
      <c r="AG34" s="61"/>
      <c r="AH34" s="61"/>
      <c r="AI34" s="61"/>
      <c r="AJ34" s="61"/>
      <c r="AK34" s="61"/>
      <c r="AL34" s="61"/>
      <c r="AM34" s="92" t="s">
        <v>113</v>
      </c>
      <c r="AN34" s="61"/>
      <c r="AO34" s="61"/>
      <c r="AP34" s="419" t="e">
        <f>(4.186*((AL12-$N15+AP32)/2)*(AP8-AL8)+2260*AP31)/(AP30*$E$20)</f>
        <v>#DIV/0!</v>
      </c>
      <c r="AQ34" s="56" t="s">
        <v>150</v>
      </c>
      <c r="AR34" s="14"/>
    </row>
    <row r="35" spans="1:122" ht="15.75" customHeight="1" x14ac:dyDescent="0.2">
      <c r="A35" s="25"/>
      <c r="B35" s="613"/>
      <c r="C35" s="614"/>
      <c r="D35" s="614"/>
      <c r="E35" s="614"/>
      <c r="F35" s="614"/>
      <c r="G35" s="614"/>
      <c r="H35" s="614"/>
      <c r="I35" s="614"/>
      <c r="J35" s="614"/>
      <c r="K35" s="614"/>
      <c r="L35" s="614"/>
      <c r="M35" s="614"/>
      <c r="N35" s="614"/>
      <c r="O35" s="614"/>
      <c r="P35" s="614"/>
      <c r="Q35" s="614"/>
      <c r="R35" s="615"/>
      <c r="S35" s="15"/>
      <c r="T35" s="10"/>
      <c r="U35" s="379" t="s">
        <v>149</v>
      </c>
      <c r="V35" s="92" t="s">
        <v>113</v>
      </c>
      <c r="W35" s="419" t="e">
        <f>(4.186*SUM((W12-$N15)*(AA8-W8),(W13-$N16)*(AA9-W9),(W14-$N17)*(AA10-W10),(W15-$N18)*(AA11-W11))+2260*W31)/(W30*$E20)</f>
        <v>#DIV/0!</v>
      </c>
      <c r="X35" s="56" t="s">
        <v>151</v>
      </c>
      <c r="Y35" s="57"/>
      <c r="Z35" s="61"/>
      <c r="AA35" s="419" t="e">
        <f>(4.186*SUM((AE12-$N15)*(AI8-AE8),(AE13-$N16)*(AI9-AE9),(AE14-$N17)*(AI10-AE10),(AE15-$N18)*(AI11-AE11))+2260*AA31)/(AA30*$E20)</f>
        <v>#DIV/0!</v>
      </c>
      <c r="AB35" s="56" t="s">
        <v>152</v>
      </c>
      <c r="AC35" s="56"/>
      <c r="AD35" s="94"/>
      <c r="AE35" s="95" t="s">
        <v>153</v>
      </c>
      <c r="AF35" s="61"/>
      <c r="AG35" s="61"/>
      <c r="AH35" s="61"/>
      <c r="AI35" s="61"/>
      <c r="AJ35" s="61"/>
      <c r="AK35" s="61"/>
      <c r="AL35" s="61"/>
      <c r="AM35" s="92" t="s">
        <v>154</v>
      </c>
      <c r="AN35" s="61"/>
      <c r="AO35" s="61"/>
      <c r="AP35" s="421" t="e">
        <f>AP30/AP33</f>
        <v>#DIV/0!</v>
      </c>
      <c r="AQ35" s="56" t="s">
        <v>155</v>
      </c>
      <c r="AR35" s="14"/>
      <c r="AS35" s="418"/>
    </row>
    <row r="36" spans="1:122" ht="15.75" customHeight="1" thickBot="1" x14ac:dyDescent="0.25">
      <c r="A36" s="25"/>
      <c r="B36" s="110" t="s">
        <v>184</v>
      </c>
      <c r="C36" s="110"/>
      <c r="D36" s="110"/>
      <c r="E36" s="110"/>
      <c r="F36" s="110"/>
      <c r="G36" s="110"/>
      <c r="H36" s="110"/>
      <c r="I36" s="110"/>
      <c r="J36" s="110"/>
      <c r="K36" s="110"/>
      <c r="L36" s="110"/>
      <c r="M36" s="110"/>
      <c r="N36" s="110"/>
      <c r="O36" s="111"/>
      <c r="P36" s="111"/>
      <c r="Q36" s="111"/>
      <c r="R36" s="111"/>
      <c r="S36" s="15"/>
      <c r="T36" s="10"/>
      <c r="U36" s="379" t="s">
        <v>153</v>
      </c>
      <c r="V36" s="92" t="s">
        <v>154</v>
      </c>
      <c r="W36" s="421" t="e">
        <f>W30/W33</f>
        <v>#DIV/0!</v>
      </c>
      <c r="X36" s="92" t="s">
        <v>156</v>
      </c>
      <c r="Y36" s="57"/>
      <c r="Z36" s="61"/>
      <c r="AA36" s="421" t="e">
        <f>AA30/AA33</f>
        <v>#DIV/0!</v>
      </c>
      <c r="AB36" s="56" t="s">
        <v>157</v>
      </c>
      <c r="AC36" s="56"/>
      <c r="AD36" s="94"/>
      <c r="AE36" s="95" t="s">
        <v>158</v>
      </c>
      <c r="AF36" s="61"/>
      <c r="AG36" s="61"/>
      <c r="AH36" s="61"/>
      <c r="AI36" s="61"/>
      <c r="AJ36" s="61"/>
      <c r="AK36" s="61"/>
      <c r="AL36" s="61"/>
      <c r="AM36" s="92" t="s">
        <v>844</v>
      </c>
      <c r="AN36" s="61"/>
      <c r="AO36" s="61"/>
      <c r="AP36" s="421" t="e">
        <f>AP30/AP32*1000</f>
        <v>#DIV/0!</v>
      </c>
      <c r="AQ36" s="56" t="s">
        <v>160</v>
      </c>
      <c r="AR36" s="14"/>
    </row>
    <row r="37" spans="1:122" ht="13.5" customHeight="1" thickTop="1" thickBot="1" x14ac:dyDescent="0.25">
      <c r="A37" s="109"/>
      <c r="B37" s="249"/>
      <c r="C37" s="249"/>
      <c r="D37" s="249"/>
      <c r="E37" s="249"/>
      <c r="F37" s="249"/>
      <c r="G37" s="249"/>
      <c r="H37" s="249"/>
      <c r="I37" s="249"/>
      <c r="J37" s="249"/>
      <c r="K37" s="249"/>
      <c r="L37" s="249"/>
      <c r="M37" s="249"/>
      <c r="N37" s="249"/>
      <c r="O37" s="249"/>
      <c r="P37" s="249"/>
      <c r="Q37" s="249"/>
      <c r="R37" s="249"/>
      <c r="S37" s="112"/>
      <c r="T37" s="10"/>
      <c r="U37" s="379" t="s">
        <v>158</v>
      </c>
      <c r="V37" s="92" t="s">
        <v>845</v>
      </c>
      <c r="W37" s="93" t="e">
        <f>1000*W30/((W32))</f>
        <v>#DIV/0!</v>
      </c>
      <c r="X37" s="56" t="s">
        <v>161</v>
      </c>
      <c r="Y37" s="57"/>
      <c r="Z37" s="61"/>
      <c r="AA37" s="435" t="e">
        <f>1000*AA30/AA32</f>
        <v>#DIV/0!</v>
      </c>
      <c r="AB37" s="56" t="s">
        <v>162</v>
      </c>
      <c r="AC37" s="56"/>
      <c r="AD37" s="94"/>
      <c r="AE37" s="95" t="s">
        <v>163</v>
      </c>
      <c r="AF37" s="61"/>
      <c r="AG37" s="61"/>
      <c r="AH37" s="61"/>
      <c r="AI37" s="61"/>
      <c r="AJ37" s="61"/>
      <c r="AK37" s="61"/>
      <c r="AL37" s="61"/>
      <c r="AM37" s="92" t="s">
        <v>164</v>
      </c>
      <c r="AN37" s="61"/>
      <c r="AO37" s="61"/>
      <c r="AP37" s="327" t="e">
        <f>AP30*$E$20/(AP33*60)</f>
        <v>#DIV/0!</v>
      </c>
      <c r="AQ37" s="56" t="s">
        <v>165</v>
      </c>
      <c r="AR37" s="14"/>
    </row>
    <row r="38" spans="1:122" ht="15.6" customHeight="1" thickTop="1" x14ac:dyDescent="0.2">
      <c r="B38" s="118" t="str">
        <f>"TEST #1 "&amp;D7</f>
        <v xml:space="preserve">TEST #1 </v>
      </c>
      <c r="S38" s="5"/>
      <c r="T38" s="13"/>
      <c r="U38" s="379" t="s">
        <v>166</v>
      </c>
      <c r="V38" s="92" t="s">
        <v>159</v>
      </c>
      <c r="W38" s="435" t="e">
        <f>W37*75/($N$20-W8)</f>
        <v>#DIV/0!</v>
      </c>
      <c r="X38" s="56" t="s">
        <v>167</v>
      </c>
      <c r="Y38" s="57"/>
      <c r="Z38" s="61"/>
      <c r="AA38" s="435" t="e">
        <f>AA37*75/($N$20-AE8)</f>
        <v>#DIV/0!</v>
      </c>
      <c r="AB38" s="56" t="s">
        <v>168</v>
      </c>
      <c r="AC38" s="56"/>
      <c r="AD38" s="94"/>
      <c r="AE38" s="95" t="s">
        <v>169</v>
      </c>
      <c r="AF38" s="61"/>
      <c r="AG38" s="61"/>
      <c r="AH38" s="61"/>
      <c r="AI38" s="61"/>
      <c r="AJ38" s="61"/>
      <c r="AK38" s="61"/>
      <c r="AL38" s="61"/>
      <c r="AM38" s="92" t="s">
        <v>92</v>
      </c>
      <c r="AN38" s="61"/>
      <c r="AO38" s="61"/>
      <c r="AP38" s="417" t="e">
        <f>W40/AP37</f>
        <v>#DIV/0!</v>
      </c>
      <c r="AQ38" s="92" t="s">
        <v>170</v>
      </c>
      <c r="AR38" s="14"/>
    </row>
    <row r="39" spans="1:122" ht="15.6" customHeight="1" thickBot="1" x14ac:dyDescent="0.25">
      <c r="B39" s="619" t="s">
        <v>747</v>
      </c>
      <c r="C39" s="620"/>
      <c r="D39" s="620"/>
      <c r="E39" s="620"/>
      <c r="F39" s="620"/>
      <c r="G39" s="620"/>
      <c r="H39" s="620"/>
      <c r="I39" s="620"/>
      <c r="J39" s="620"/>
      <c r="K39" s="620"/>
      <c r="L39" s="620"/>
      <c r="M39" s="620"/>
      <c r="N39" s="620"/>
      <c r="O39" s="620"/>
      <c r="P39" s="620"/>
      <c r="Q39" s="620"/>
      <c r="R39" s="621"/>
      <c r="S39" s="2"/>
      <c r="T39" s="13"/>
      <c r="U39" s="379" t="s">
        <v>171</v>
      </c>
      <c r="V39" s="92" t="s">
        <v>172</v>
      </c>
      <c r="W39" s="93" t="e">
        <f>(W38/1000)*E20</f>
        <v>#DIV/0!</v>
      </c>
      <c r="X39" s="56" t="s">
        <v>173</v>
      </c>
      <c r="Y39" s="57"/>
      <c r="Z39" s="61"/>
      <c r="AA39" s="93" t="e">
        <f>(AA38/1000)*E20</f>
        <v>#DIV/0!</v>
      </c>
      <c r="AB39" s="56" t="s">
        <v>174</v>
      </c>
      <c r="AC39" s="56"/>
      <c r="AD39" s="94"/>
      <c r="AE39" s="102" t="s">
        <v>175</v>
      </c>
      <c r="AF39" s="103"/>
      <c r="AG39" s="103"/>
      <c r="AH39" s="103"/>
      <c r="AI39" s="103"/>
      <c r="AJ39" s="103"/>
      <c r="AK39" s="103"/>
      <c r="AL39" s="103"/>
      <c r="AM39" s="104" t="s">
        <v>172</v>
      </c>
      <c r="AN39" s="103"/>
      <c r="AO39" s="103"/>
      <c r="AP39" s="105" t="e">
        <f>(AP36/1000)*E20</f>
        <v>#DIV/0!</v>
      </c>
      <c r="AQ39" s="106" t="s">
        <v>176</v>
      </c>
      <c r="AR39" s="107"/>
    </row>
    <row r="40" spans="1:122" ht="15.6" customHeight="1" thickBot="1" x14ac:dyDescent="0.25">
      <c r="B40" s="616"/>
      <c r="C40" s="617"/>
      <c r="D40" s="617"/>
      <c r="E40" s="617"/>
      <c r="F40" s="617"/>
      <c r="G40" s="617"/>
      <c r="H40" s="617"/>
      <c r="I40" s="617"/>
      <c r="J40" s="617"/>
      <c r="K40" s="617"/>
      <c r="L40" s="617"/>
      <c r="M40" s="617"/>
      <c r="N40" s="617"/>
      <c r="O40" s="617"/>
      <c r="P40" s="617"/>
      <c r="Q40" s="617"/>
      <c r="R40" s="618"/>
      <c r="S40" s="2"/>
      <c r="T40" s="21"/>
      <c r="U40" s="380" t="s">
        <v>163</v>
      </c>
      <c r="V40" s="115" t="s">
        <v>164</v>
      </c>
      <c r="W40" s="422" t="e">
        <f>W30*$E$20/(W33*60)</f>
        <v>#DIV/0!</v>
      </c>
      <c r="X40" s="376" t="s">
        <v>177</v>
      </c>
      <c r="Y40" s="252"/>
      <c r="Z40" s="114"/>
      <c r="AA40" s="422" t="e">
        <f>AA30*$E$20/(AA33*60)</f>
        <v>#DIV/0!</v>
      </c>
      <c r="AB40" s="376" t="s">
        <v>178</v>
      </c>
      <c r="AC40" s="376"/>
      <c r="AD40" s="253"/>
      <c r="AE40" s="3" t="s">
        <v>179</v>
      </c>
      <c r="AM40" s="3" t="s">
        <v>20</v>
      </c>
      <c r="AP40" s="388" t="e">
        <f>IF(ISERROR(AA38),5*(W38+AP36),5*(AVERAGE(W38,AA38)+AP36))</f>
        <v>#DIV/0!</v>
      </c>
      <c r="AQ40" s="108" t="s">
        <v>180</v>
      </c>
      <c r="AR40" s="14"/>
      <c r="DG40" s="1"/>
      <c r="DH40" s="1"/>
      <c r="DI40" s="1"/>
      <c r="DJ40" s="1"/>
      <c r="DK40" s="1"/>
      <c r="DL40" s="1"/>
      <c r="DM40" s="1"/>
      <c r="DN40" s="1"/>
      <c r="DO40" s="1"/>
      <c r="DP40" s="1"/>
      <c r="DQ40" s="1"/>
      <c r="DR40" s="1"/>
    </row>
    <row r="41" spans="1:122" ht="15.6" customHeight="1" thickTop="1" thickBot="1" x14ac:dyDescent="0.2">
      <c r="B41" s="616"/>
      <c r="C41" s="617"/>
      <c r="D41" s="617"/>
      <c r="E41" s="617"/>
      <c r="F41" s="617"/>
      <c r="G41" s="617"/>
      <c r="H41" s="617"/>
      <c r="I41" s="617"/>
      <c r="J41" s="617"/>
      <c r="K41" s="617"/>
      <c r="L41" s="617"/>
      <c r="M41" s="617"/>
      <c r="N41" s="617"/>
      <c r="O41" s="617"/>
      <c r="P41" s="617"/>
      <c r="Q41" s="617"/>
      <c r="R41" s="618"/>
      <c r="U41" s="118"/>
      <c r="V41" s="86"/>
      <c r="W41" s="13"/>
      <c r="X41" s="13"/>
      <c r="Y41" s="13"/>
      <c r="Z41" s="8"/>
      <c r="AA41" s="13"/>
      <c r="AB41" s="13"/>
      <c r="AC41" s="13"/>
      <c r="AD41" s="94"/>
      <c r="AE41" s="114" t="s">
        <v>181</v>
      </c>
      <c r="AF41" s="114"/>
      <c r="AG41" s="114"/>
      <c r="AH41" s="114"/>
      <c r="AI41" s="114"/>
      <c r="AJ41" s="114"/>
      <c r="AK41" s="114"/>
      <c r="AL41" s="114"/>
      <c r="AM41" s="114" t="s">
        <v>182</v>
      </c>
      <c r="AN41" s="114"/>
      <c r="AO41" s="114"/>
      <c r="AP41" s="254" t="e">
        <f>(AP40/1000)*E20</f>
        <v>#DIV/0!</v>
      </c>
      <c r="AQ41" s="115" t="s">
        <v>183</v>
      </c>
      <c r="AR41" s="116"/>
      <c r="DG41" s="1"/>
      <c r="DH41" s="1"/>
      <c r="DI41" s="1"/>
      <c r="DJ41" s="1"/>
      <c r="DK41" s="1"/>
      <c r="DL41" s="1"/>
      <c r="DM41" s="1"/>
      <c r="DN41" s="1"/>
      <c r="DO41" s="1"/>
      <c r="DP41" s="1"/>
      <c r="DQ41" s="1"/>
      <c r="DR41" s="1"/>
    </row>
    <row r="42" spans="1:122" ht="15.6" customHeight="1" thickTop="1" thickBot="1" x14ac:dyDescent="0.2">
      <c r="B42" s="616"/>
      <c r="C42" s="617"/>
      <c r="D42" s="617"/>
      <c r="E42" s="617"/>
      <c r="F42" s="617"/>
      <c r="G42" s="617"/>
      <c r="H42" s="617"/>
      <c r="I42" s="617"/>
      <c r="J42" s="617"/>
      <c r="K42" s="617"/>
      <c r="L42" s="617"/>
      <c r="M42" s="617"/>
      <c r="N42" s="617"/>
      <c r="O42" s="617"/>
      <c r="P42" s="617"/>
      <c r="Q42" s="617"/>
      <c r="R42" s="618"/>
      <c r="U42" s="387" t="s">
        <v>967</v>
      </c>
      <c r="W42" s="386">
        <v>1</v>
      </c>
      <c r="DG42" s="1"/>
      <c r="DH42" s="1"/>
      <c r="DI42" s="1"/>
      <c r="DJ42" s="1"/>
      <c r="DK42" s="1"/>
      <c r="DL42" s="1"/>
      <c r="DM42" s="1"/>
      <c r="DN42" s="1"/>
      <c r="DO42" s="1"/>
      <c r="DP42" s="1"/>
      <c r="DQ42" s="1"/>
      <c r="DR42" s="1"/>
    </row>
    <row r="43" spans="1:122" ht="15.6" customHeight="1" thickTop="1" x14ac:dyDescent="0.15">
      <c r="B43" s="616"/>
      <c r="C43" s="617"/>
      <c r="D43" s="617"/>
      <c r="E43" s="617"/>
      <c r="F43" s="617"/>
      <c r="G43" s="617"/>
      <c r="H43" s="617"/>
      <c r="I43" s="617"/>
      <c r="J43" s="617"/>
      <c r="K43" s="617"/>
      <c r="L43" s="617"/>
      <c r="M43" s="617"/>
      <c r="N43" s="617"/>
      <c r="O43" s="617"/>
      <c r="P43" s="617"/>
      <c r="Q43" s="617"/>
      <c r="R43" s="618"/>
      <c r="U43" s="283" t="s">
        <v>952</v>
      </c>
      <c r="V43" s="284"/>
      <c r="W43" s="285"/>
      <c r="X43" s="286"/>
      <c r="Y43" s="287"/>
      <c r="Z43" s="287"/>
      <c r="AA43" s="287"/>
      <c r="AB43" s="287"/>
      <c r="AC43" s="287"/>
      <c r="AD43" s="287"/>
      <c r="AE43" s="285" t="s">
        <v>88</v>
      </c>
      <c r="AF43" s="288" t="s">
        <v>866</v>
      </c>
      <c r="DG43" s="1"/>
      <c r="DH43" s="1"/>
      <c r="DI43" s="1"/>
      <c r="DJ43" s="1"/>
      <c r="DK43" s="1"/>
      <c r="DL43" s="1"/>
      <c r="DM43" s="1"/>
      <c r="DN43" s="1"/>
      <c r="DO43" s="1"/>
      <c r="DP43" s="1"/>
      <c r="DQ43" s="1"/>
      <c r="DR43" s="1"/>
    </row>
    <row r="44" spans="1:122" ht="15.6" customHeight="1" x14ac:dyDescent="0.15">
      <c r="B44" s="616"/>
      <c r="C44" s="617"/>
      <c r="D44" s="617"/>
      <c r="E44" s="617"/>
      <c r="F44" s="617"/>
      <c r="G44" s="617"/>
      <c r="H44" s="617"/>
      <c r="I44" s="617"/>
      <c r="J44" s="617"/>
      <c r="K44" s="617"/>
      <c r="L44" s="617"/>
      <c r="M44" s="617"/>
      <c r="N44" s="617"/>
      <c r="O44" s="617"/>
      <c r="P44" s="617"/>
      <c r="Q44" s="617"/>
      <c r="R44" s="618"/>
      <c r="U44" s="289" t="s">
        <v>835</v>
      </c>
      <c r="V44" s="290"/>
      <c r="AB44" s="22" t="s">
        <v>839</v>
      </c>
      <c r="AC44" s="22"/>
      <c r="AE44" s="396" t="e">
        <f>IF(AA33=0,W35,(W35+AA35)/2)</f>
        <v>#DIV/0!</v>
      </c>
      <c r="AF44" s="423" t="e">
        <f>IF(AE44=0,"-",IF(AE44&lt;Lists!E15,"0",IF(AE44&lt;Lists!I15,1,IF(AE44&lt;Lists!K15,2,IF(AE44&lt;Lists!M15,3,4)))))</f>
        <v>#DIV/0!</v>
      </c>
      <c r="DG44" s="1"/>
      <c r="DH44" s="1"/>
      <c r="DI44" s="1"/>
      <c r="DJ44" s="1"/>
      <c r="DK44" s="1"/>
      <c r="DL44" s="1"/>
      <c r="DM44" s="1"/>
      <c r="DN44" s="1"/>
      <c r="DO44" s="1"/>
      <c r="DP44" s="1"/>
      <c r="DQ44" s="1"/>
      <c r="DR44" s="1"/>
    </row>
    <row r="45" spans="1:122" ht="15.6" customHeight="1" x14ac:dyDescent="0.15">
      <c r="B45" s="616"/>
      <c r="C45" s="617"/>
      <c r="D45" s="617"/>
      <c r="E45" s="617"/>
      <c r="F45" s="617"/>
      <c r="G45" s="617"/>
      <c r="H45" s="617"/>
      <c r="I45" s="617"/>
      <c r="J45" s="617"/>
      <c r="K45" s="617"/>
      <c r="L45" s="617"/>
      <c r="M45" s="617"/>
      <c r="N45" s="617"/>
      <c r="O45" s="617"/>
      <c r="P45" s="617"/>
      <c r="Q45" s="617"/>
      <c r="R45" s="618"/>
      <c r="U45" s="289" t="s">
        <v>836</v>
      </c>
      <c r="V45" s="290"/>
      <c r="AB45" s="22" t="s">
        <v>869</v>
      </c>
      <c r="AC45" s="22"/>
      <c r="AE45" s="403" t="e">
        <f>AP30*'General Information'!L22/(AP32*AP33*1000)</f>
        <v>#DIV/0!</v>
      </c>
      <c r="AF45" s="424" t="e">
        <f>IF(AE45&gt;Lists!E16,"0",IF(AE45&gt;Lists!I16,1,IF(AE45&gt;Lists!K16,2,IF(AE45&gt;Lists!M16,3,4))))</f>
        <v>#DIV/0!</v>
      </c>
    </row>
    <row r="46" spans="1:122" ht="15.6" customHeight="1" x14ac:dyDescent="0.15">
      <c r="B46" s="616"/>
      <c r="C46" s="617"/>
      <c r="D46" s="617"/>
      <c r="E46" s="617"/>
      <c r="F46" s="617"/>
      <c r="G46" s="617"/>
      <c r="H46" s="617"/>
      <c r="I46" s="617"/>
      <c r="J46" s="617"/>
      <c r="K46" s="617"/>
      <c r="L46" s="617"/>
      <c r="M46" s="617"/>
      <c r="N46" s="617"/>
      <c r="O46" s="617"/>
      <c r="P46" s="617"/>
      <c r="Q46" s="617"/>
      <c r="R46" s="618"/>
      <c r="U46" s="289" t="s">
        <v>854</v>
      </c>
      <c r="V46" s="290"/>
      <c r="AB46" s="22" t="s">
        <v>837</v>
      </c>
      <c r="AC46" s="22"/>
      <c r="AE46" s="402" t="e">
        <f>IF(W42=3,IF(AA33=0,1000000/'General Information'!L22*AA23/(W35*W30),1000000/'General Information'!L22*(AA23/(W35*W30)+AI23/(AA35*AA30))/2),IF(W42=1,IF(AA33=0,1000000/'General Information'!L22*W70/(W35*W30),1000000/'General Information'!L22*(W70/(W35*W30)+AA70/(AA35*AA30))/2),IF(AA33=0,1000000/'General Information'!L22*W74/(W35*W30),1000000/'General Information'!L22*(W74/(W35*W30)+AA74/(AA35*AA30))/2)))</f>
        <v>#DIV/0!</v>
      </c>
      <c r="AF46" s="424" t="e">
        <f xml:space="preserve"> IF(AE46&gt;Lists!E17,"0",IF(AE46&gt;Lists!I17,1,IF(AE46&gt;Lists!K17,2,IF(AE46&gt;Lists!M17,3,4))))</f>
        <v>#DIV/0!</v>
      </c>
    </row>
    <row r="47" spans="1:122" ht="15.6" customHeight="1" x14ac:dyDescent="0.15">
      <c r="B47" s="616"/>
      <c r="C47" s="617"/>
      <c r="D47" s="617"/>
      <c r="E47" s="617"/>
      <c r="F47" s="617"/>
      <c r="G47" s="617"/>
      <c r="H47" s="617"/>
      <c r="I47" s="617"/>
      <c r="J47" s="617"/>
      <c r="K47" s="617"/>
      <c r="L47" s="617"/>
      <c r="M47" s="617"/>
      <c r="N47" s="617"/>
      <c r="O47" s="617"/>
      <c r="P47" s="617"/>
      <c r="Q47" s="617"/>
      <c r="R47" s="618"/>
      <c r="U47" s="289" t="s">
        <v>856</v>
      </c>
      <c r="V47" s="290"/>
      <c r="AB47" s="22" t="s">
        <v>870</v>
      </c>
      <c r="AC47" s="22"/>
      <c r="AE47" s="403" t="e">
        <f>IF(W42=3,AP23/(AP33*AP32)*1000,IF(W42=1,AE70/(AP33*AP32)*1000,AE74/(AP33*AP32)*1000))</f>
        <v>#DIV/0!</v>
      </c>
      <c r="AF47" s="424" t="e">
        <f>IF(AE47&gt;Lists!E18,"0",IF(AE47&gt;Lists!I18,1,IF(AE47&gt;Lists!K18,2,IF(AE47&gt;Lists!M18,3,4))))</f>
        <v>#DIV/0!</v>
      </c>
    </row>
    <row r="48" spans="1:122" ht="15.6" customHeight="1" x14ac:dyDescent="0.15">
      <c r="B48" s="613"/>
      <c r="C48" s="614"/>
      <c r="D48" s="614"/>
      <c r="E48" s="614"/>
      <c r="F48" s="614"/>
      <c r="G48" s="614"/>
      <c r="H48" s="614"/>
      <c r="I48" s="614"/>
      <c r="J48" s="614"/>
      <c r="K48" s="614"/>
      <c r="L48" s="614"/>
      <c r="M48" s="614"/>
      <c r="N48" s="614"/>
      <c r="O48" s="614"/>
      <c r="P48" s="614"/>
      <c r="Q48" s="614"/>
      <c r="R48" s="615"/>
      <c r="U48" s="289" t="s">
        <v>858</v>
      </c>
      <c r="V48" s="290"/>
      <c r="AB48" s="22" t="s">
        <v>841</v>
      </c>
      <c r="AC48" s="22"/>
      <c r="AE48" s="404" t="e">
        <f>IF(W42=3,IF(AA33=0,10^9/'General Information'!L22*AA24/(W35*W30),10^9/'General Information'!L22*(AA24/(W35*W30)+AI24/(AA35*AA30))/2),IF(W42=1,IF(AA33=0,10^9/'General Information'!L22*W71/(W35*W30),10^9/'General Information'!L22*(W71/(W35*W30)+AA71/(AA35*AA30))/2),IF(AA33=0,10^9/'General Information'!L22*W75/(W35*W30),10^9/'General Information'!L22*(W75/(W35*W30)+AA75/(AA35*AA30))/2)))</f>
        <v>#DIV/0!</v>
      </c>
      <c r="AF48" s="424" t="e">
        <f>IF(AE48&gt;Lists!E19,"0",IF(AE48&gt;Lists!I19,1,IF(AE48&gt;Lists!K19,2,IF(AE48&gt;Lists!M19,3,4))))</f>
        <v>#DIV/0!</v>
      </c>
    </row>
    <row r="49" spans="2:36" ht="15.6" customHeight="1" x14ac:dyDescent="0.15">
      <c r="C49" s="1"/>
      <c r="H49" s="1"/>
      <c r="I49" s="1"/>
      <c r="J49" s="1"/>
      <c r="K49" s="1"/>
      <c r="L49" s="1"/>
      <c r="M49" s="1"/>
      <c r="N49" s="1"/>
      <c r="O49" s="1"/>
      <c r="P49" s="1"/>
      <c r="Q49" s="1"/>
      <c r="R49" s="1"/>
      <c r="U49" s="289" t="s">
        <v>860</v>
      </c>
      <c r="V49" s="290"/>
      <c r="AB49" s="22" t="s">
        <v>871</v>
      </c>
      <c r="AC49" s="22"/>
      <c r="AE49" s="397" t="e">
        <f>IF(W42=3,AP24/(AP33*AP32)*1000000,IF(W42=1,AE71/(AP33*AP32)*1000000,AE75/(AP33*AP32)*1000000))</f>
        <v>#DIV/0!</v>
      </c>
      <c r="AF49" s="424" t="e">
        <f>IF(AE49&gt;Lists!E20,"0",IF(AE49&gt;Lists!I20,1,IF(AE49&gt;Lists!K20,2,IF(AE49&gt;Lists!M20,3,4))))</f>
        <v>#DIV/0!</v>
      </c>
    </row>
    <row r="50" spans="2:36" ht="15.6" customHeight="1" x14ac:dyDescent="0.15">
      <c r="B50" s="619" t="s">
        <v>802</v>
      </c>
      <c r="C50" s="620"/>
      <c r="D50" s="620"/>
      <c r="E50" s="620"/>
      <c r="F50" s="620"/>
      <c r="G50" s="620"/>
      <c r="H50" s="620"/>
      <c r="I50" s="620"/>
      <c r="J50" s="620"/>
      <c r="K50" s="620"/>
      <c r="L50" s="620"/>
      <c r="M50" s="620"/>
      <c r="N50" s="620"/>
      <c r="O50" s="620"/>
      <c r="P50" s="620"/>
      <c r="Q50" s="620"/>
      <c r="R50" s="621"/>
      <c r="U50" s="289" t="s">
        <v>879</v>
      </c>
      <c r="V50" s="290"/>
      <c r="AB50" s="22" t="s">
        <v>154</v>
      </c>
      <c r="AC50" s="22"/>
      <c r="AE50" s="397" t="e">
        <f>IF(W42=3,IF(IF(AA33=0,AA23/W33,(AA23/W33+AI23/AA33)/2)&lt;(AP23/AP33),AP23/AP33,IF(AA33=0,AA23/W33,(AA23/W33+AI23/AA33)/2)),IF(W42=1,IF(IF(AA33=0,W70/W33,(W70/W33+AA70/AA33)/2)&lt;(AE70/AP33),AE70/AP33,IF(AA33=0,W70/W33,(W70/W33+AA70/AA33)/2)),IF(IF(AA33=0,W74/W33,(W74/W33+AA74/AA33)/2)&lt;(AE74/AP33),AE74/AP33,IF(AA33=0,W74/W33,(W74/W33+AA74/AA33)/2))))</f>
        <v>#DIV/0!</v>
      </c>
      <c r="AF50" s="424" t="e">
        <f>IF(AE50&gt;Lists!E21,"0",IF(AE50&gt;Lists!I21,1,IF(AE50&gt;Lists!K21,2,IF(AE50&gt;Lists!M21,3,4))))</f>
        <v>#DIV/0!</v>
      </c>
    </row>
    <row r="51" spans="2:36" ht="15.6" customHeight="1" thickBot="1" x14ac:dyDescent="0.2">
      <c r="B51" s="616"/>
      <c r="C51" s="617"/>
      <c r="D51" s="617"/>
      <c r="E51" s="617"/>
      <c r="F51" s="617"/>
      <c r="G51" s="617"/>
      <c r="H51" s="617"/>
      <c r="I51" s="617"/>
      <c r="J51" s="617"/>
      <c r="K51" s="617"/>
      <c r="L51" s="617"/>
      <c r="M51" s="617"/>
      <c r="N51" s="617"/>
      <c r="O51" s="617"/>
      <c r="P51" s="617"/>
      <c r="Q51" s="617"/>
      <c r="R51" s="618"/>
      <c r="U51" s="291" t="s">
        <v>878</v>
      </c>
      <c r="V51" s="292"/>
      <c r="W51" s="269"/>
      <c r="X51" s="269"/>
      <c r="Y51" s="269"/>
      <c r="Z51" s="269"/>
      <c r="AA51" s="269"/>
      <c r="AB51" s="270" t="s">
        <v>864</v>
      </c>
      <c r="AC51" s="270"/>
      <c r="AD51" s="269"/>
      <c r="AE51" s="405" t="e">
        <f>IF(W42=3,IF(IF(AA33=0,AA24/W33,(AA24/W33+AI24/AA33)/2)&lt;(AP24/AP33),AP24/AP33*1000,IF(AA33=0,AA24/W33,(AA24/W33+AI24/AA33)/2)*1000),IF(W42=1,IF(IF(AA33=0,W71/W33,(W71/W33+AA71/AA33)/2)&lt;(AE71/AP33),AE71/AP33*1000,IF(AA33=0,W71/W33,(W71/W33+AA71/AA33)/2)*1000),IF(IF(AA33=0,W75/W33,(W75/W33+AA75/AA33)/2)&lt;(AE75/AP33),AE75/AP33*1000,IF(AA33=0,W75/W33,(W75/W33+AA75/AA33)/2)*1000)))</f>
        <v>#DIV/0!</v>
      </c>
      <c r="AF51" s="425" t="e">
        <f>IF(AE51&gt;Lists!E22,"0",IF(AE51&gt;Lists!I22,1,IF(AE51&gt;Lists!K22,2,IF(AE51&gt;Lists!M22,3,4))))</f>
        <v>#DIV/0!</v>
      </c>
      <c r="AI51" s="13"/>
    </row>
    <row r="52" spans="2:36" ht="15.6" customHeight="1" thickTop="1" thickBot="1" x14ac:dyDescent="0.2">
      <c r="B52" s="616"/>
      <c r="C52" s="617"/>
      <c r="D52" s="617"/>
      <c r="E52" s="617"/>
      <c r="F52" s="617"/>
      <c r="G52" s="617"/>
      <c r="H52" s="617"/>
      <c r="I52" s="617"/>
      <c r="J52" s="617"/>
      <c r="K52" s="617"/>
      <c r="L52" s="617"/>
      <c r="M52" s="617"/>
      <c r="N52" s="617"/>
      <c r="O52" s="617"/>
      <c r="P52" s="617"/>
      <c r="Q52" s="617"/>
      <c r="R52" s="618"/>
      <c r="T52" s="114"/>
      <c r="U52" s="381" t="str">
        <f>"TEST #1 "&amp;D7</f>
        <v xml:space="preserve">TEST #1 </v>
      </c>
      <c r="V52" s="382" t="s">
        <v>804</v>
      </c>
      <c r="W52" s="114"/>
      <c r="X52" s="115"/>
      <c r="Y52" s="115"/>
      <c r="Z52" s="115"/>
      <c r="AA52" s="375"/>
      <c r="AB52" s="376"/>
      <c r="AC52" s="376"/>
      <c r="AD52" s="114"/>
      <c r="AI52" s="13"/>
    </row>
    <row r="53" spans="2:36" ht="15.6" customHeight="1" thickTop="1" x14ac:dyDescent="0.15">
      <c r="B53" s="616"/>
      <c r="C53" s="617"/>
      <c r="D53" s="617"/>
      <c r="E53" s="617"/>
      <c r="F53" s="617"/>
      <c r="G53" s="617"/>
      <c r="H53" s="617"/>
      <c r="I53" s="617"/>
      <c r="J53" s="617"/>
      <c r="K53" s="617"/>
      <c r="L53" s="617"/>
      <c r="M53" s="617"/>
      <c r="N53" s="617"/>
      <c r="O53" s="617"/>
      <c r="P53" s="617"/>
      <c r="Q53" s="617"/>
      <c r="R53" s="618"/>
      <c r="T53" s="10"/>
      <c r="U53" s="13"/>
      <c r="V53" s="13"/>
      <c r="W53" s="260" t="s">
        <v>110</v>
      </c>
      <c r="X53" s="8"/>
      <c r="Y53" s="261"/>
      <c r="Z53" s="8"/>
      <c r="AA53" s="260" t="s">
        <v>111</v>
      </c>
      <c r="AB53" s="8"/>
      <c r="AC53" s="261"/>
      <c r="AD53" s="8"/>
      <c r="AE53" s="260" t="s">
        <v>2</v>
      </c>
      <c r="AF53" s="8"/>
      <c r="AG53" s="146"/>
      <c r="AH53" s="146"/>
      <c r="AI53" s="271"/>
    </row>
    <row r="54" spans="2:36" ht="15.6" customHeight="1" x14ac:dyDescent="0.15">
      <c r="B54" s="616"/>
      <c r="C54" s="617"/>
      <c r="D54" s="617"/>
      <c r="E54" s="617"/>
      <c r="F54" s="617"/>
      <c r="G54" s="617"/>
      <c r="H54" s="617"/>
      <c r="I54" s="617"/>
      <c r="J54" s="617"/>
      <c r="K54" s="617"/>
      <c r="L54" s="617"/>
      <c r="M54" s="617"/>
      <c r="N54" s="617"/>
      <c r="O54" s="617"/>
      <c r="P54" s="617"/>
      <c r="Q54" s="617"/>
      <c r="R54" s="618"/>
      <c r="T54" s="10"/>
      <c r="U54" s="88" t="s">
        <v>116</v>
      </c>
      <c r="V54" s="89" t="s">
        <v>9</v>
      </c>
      <c r="W54" s="89" t="s">
        <v>10</v>
      </c>
      <c r="X54" s="89" t="s">
        <v>11</v>
      </c>
      <c r="Y54" s="46"/>
      <c r="Z54" s="13"/>
      <c r="AA54" s="89" t="s">
        <v>10</v>
      </c>
      <c r="AB54" s="89" t="s">
        <v>11</v>
      </c>
      <c r="AC54" s="46"/>
      <c r="AD54" s="13"/>
      <c r="AE54" s="89" t="s">
        <v>10</v>
      </c>
      <c r="AF54" s="89" t="s">
        <v>11</v>
      </c>
      <c r="AG54" s="71"/>
      <c r="AH54" s="71"/>
      <c r="AI54" s="271"/>
    </row>
    <row r="55" spans="2:36" ht="15.6" customHeight="1" x14ac:dyDescent="0.3">
      <c r="B55" s="616"/>
      <c r="C55" s="617"/>
      <c r="D55" s="617"/>
      <c r="E55" s="617"/>
      <c r="F55" s="617"/>
      <c r="G55" s="617"/>
      <c r="H55" s="617"/>
      <c r="I55" s="617"/>
      <c r="J55" s="617"/>
      <c r="K55" s="617"/>
      <c r="L55" s="617"/>
      <c r="M55" s="617"/>
      <c r="N55" s="617"/>
      <c r="O55" s="617"/>
      <c r="P55" s="617"/>
      <c r="Q55" s="617"/>
      <c r="R55" s="618"/>
      <c r="T55" s="10"/>
      <c r="U55" s="91" t="s">
        <v>805</v>
      </c>
      <c r="V55" s="92" t="s">
        <v>806</v>
      </c>
      <c r="W55" s="426">
        <f>'General Information'!$C$24*W33/60</f>
        <v>0</v>
      </c>
      <c r="X55" s="350" t="s">
        <v>884</v>
      </c>
      <c r="Y55" s="57"/>
      <c r="Z55" s="61"/>
      <c r="AA55" s="427">
        <f>'General Information'!$C$24*AA33/60</f>
        <v>0</v>
      </c>
      <c r="AB55" s="351" t="s">
        <v>885</v>
      </c>
      <c r="AC55" s="46"/>
      <c r="AD55" s="13"/>
      <c r="AE55" s="426">
        <f>'General Information'!$C$24*AP33/60</f>
        <v>0</v>
      </c>
      <c r="AF55" s="351" t="s">
        <v>886</v>
      </c>
      <c r="AG55" s="155"/>
      <c r="AH55" s="71"/>
      <c r="AI55" s="271"/>
    </row>
    <row r="56" spans="2:36" ht="15.6" customHeight="1" x14ac:dyDescent="0.3">
      <c r="B56" s="616"/>
      <c r="C56" s="617"/>
      <c r="D56" s="617"/>
      <c r="E56" s="617"/>
      <c r="F56" s="617"/>
      <c r="G56" s="617"/>
      <c r="H56" s="617"/>
      <c r="I56" s="617"/>
      <c r="J56" s="617"/>
      <c r="K56" s="617"/>
      <c r="L56" s="617"/>
      <c r="M56" s="617"/>
      <c r="N56" s="617"/>
      <c r="O56" s="617"/>
      <c r="P56" s="617"/>
      <c r="Q56" s="617"/>
      <c r="R56" s="618"/>
      <c r="T56" s="10"/>
      <c r="U56" s="91" t="s">
        <v>814</v>
      </c>
      <c r="V56" s="92" t="s">
        <v>781</v>
      </c>
      <c r="W56" s="429" t="e">
        <f>((AA18-$N21)+(AA19-$N22)+(AA20-$N23)/15/('General Information'!$C$22/0.008314/(AA21+273.15)))</f>
        <v>#DIV/0!</v>
      </c>
      <c r="X56" s="350" t="s">
        <v>887</v>
      </c>
      <c r="Y56" s="57"/>
      <c r="Z56" s="61"/>
      <c r="AA56" s="421" t="e">
        <f>((AI18-$N21)+(AI19-$N22)+(AI20-$N23)/15/('General Information'!$C$22/0.008314/(AI21+273.15)))</f>
        <v>#DIV/0!</v>
      </c>
      <c r="AB56" s="351" t="s">
        <v>888</v>
      </c>
      <c r="AC56" s="57"/>
      <c r="AD56" s="13"/>
      <c r="AE56" s="429" t="e">
        <f>((AP18-$N21)+(AP19-$N22)+(AP20-$N23)/15/('General Information'!$C$22/0.008314/(AP21+273.15)))</f>
        <v>#DIV/0!</v>
      </c>
      <c r="AF56" s="351" t="s">
        <v>889</v>
      </c>
      <c r="AG56" s="155"/>
      <c r="AH56" s="71"/>
      <c r="AI56" s="271"/>
    </row>
    <row r="57" spans="2:36" ht="15.6" customHeight="1" x14ac:dyDescent="0.3">
      <c r="B57" s="616"/>
      <c r="C57" s="617"/>
      <c r="D57" s="617"/>
      <c r="E57" s="617"/>
      <c r="F57" s="617"/>
      <c r="G57" s="617"/>
      <c r="H57" s="617"/>
      <c r="I57" s="617"/>
      <c r="J57" s="617"/>
      <c r="K57" s="617"/>
      <c r="L57" s="617"/>
      <c r="M57" s="617"/>
      <c r="N57" s="617"/>
      <c r="O57" s="617"/>
      <c r="P57" s="617"/>
      <c r="Q57" s="617"/>
      <c r="R57" s="618"/>
      <c r="T57" s="10"/>
      <c r="U57" s="91" t="s">
        <v>807</v>
      </c>
      <c r="V57" s="92" t="s">
        <v>808</v>
      </c>
      <c r="W57" s="392" t="e">
        <f>'General Information'!$C$22/0.008314/(AA21+273.15)*W56*0.000001*12</f>
        <v>#DIV/0!</v>
      </c>
      <c r="X57" s="350" t="s">
        <v>890</v>
      </c>
      <c r="Y57" s="57"/>
      <c r="Z57" s="61"/>
      <c r="AA57" s="395" t="e">
        <f>'General Information'!$C$22/0.008314/(AI21+273.15)*AA56*0.000001*12</f>
        <v>#DIV/0!</v>
      </c>
      <c r="AB57" s="351" t="s">
        <v>891</v>
      </c>
      <c r="AC57" s="57"/>
      <c r="AD57" s="13"/>
      <c r="AE57" s="392" t="e">
        <f>'General Information'!$C$22/0.008314/(AP21+273.15)*AE56*0.000001*12</f>
        <v>#DIV/0!</v>
      </c>
      <c r="AF57" s="351" t="s">
        <v>892</v>
      </c>
      <c r="AG57" s="155"/>
      <c r="AH57" s="71"/>
      <c r="AI57" s="271"/>
    </row>
    <row r="58" spans="2:36" ht="15.6" customHeight="1" x14ac:dyDescent="0.15">
      <c r="B58" s="616"/>
      <c r="C58" s="617"/>
      <c r="D58" s="617"/>
      <c r="E58" s="617"/>
      <c r="F58" s="617"/>
      <c r="G58" s="617"/>
      <c r="H58" s="617"/>
      <c r="I58" s="617"/>
      <c r="J58" s="617"/>
      <c r="K58" s="617"/>
      <c r="L58" s="617"/>
      <c r="M58" s="617"/>
      <c r="N58" s="617"/>
      <c r="O58" s="617"/>
      <c r="P58" s="617"/>
      <c r="Q58" s="617"/>
      <c r="R58" s="618"/>
      <c r="T58" s="10"/>
      <c r="U58" s="91" t="s">
        <v>877</v>
      </c>
      <c r="V58" s="92" t="s">
        <v>20</v>
      </c>
      <c r="W58" s="85" t="e">
        <f>W57*W55/fuelFracC</f>
        <v>#DIV/0!</v>
      </c>
      <c r="X58" s="351" t="s">
        <v>893</v>
      </c>
      <c r="Y58" s="57"/>
      <c r="Z58" s="61"/>
      <c r="AA58" s="395" t="e">
        <f>AA57*AA55/fuelFracC</f>
        <v>#DIV/0!</v>
      </c>
      <c r="AB58" s="351" t="s">
        <v>894</v>
      </c>
      <c r="AC58" s="57"/>
      <c r="AD58" s="13"/>
      <c r="AE58" s="392" t="e">
        <f>AE57*AE55/fuelFracC</f>
        <v>#DIV/0!</v>
      </c>
      <c r="AF58" s="351" t="s">
        <v>895</v>
      </c>
      <c r="AG58" s="22"/>
      <c r="AH58" s="13"/>
      <c r="AI58" s="271"/>
    </row>
    <row r="59" spans="2:36" ht="15.6" customHeight="1" x14ac:dyDescent="0.15">
      <c r="B59" s="613"/>
      <c r="C59" s="614"/>
      <c r="D59" s="614"/>
      <c r="E59" s="614"/>
      <c r="F59" s="614"/>
      <c r="G59" s="614"/>
      <c r="H59" s="614"/>
      <c r="I59" s="614"/>
      <c r="J59" s="614"/>
      <c r="K59" s="614"/>
      <c r="L59" s="614"/>
      <c r="M59" s="614"/>
      <c r="N59" s="614"/>
      <c r="O59" s="614"/>
      <c r="P59" s="614"/>
      <c r="Q59" s="614"/>
      <c r="R59" s="615"/>
      <c r="T59" s="10"/>
      <c r="U59" s="13" t="s">
        <v>824</v>
      </c>
      <c r="V59" s="22" t="s">
        <v>113</v>
      </c>
      <c r="W59" s="430" t="e">
        <f>W58/((1-$E$18)*(W28)-W29*charFracC/'General Information'!L23)</f>
        <v>#DIV/0!</v>
      </c>
      <c r="X59" s="351" t="s">
        <v>896</v>
      </c>
      <c r="Y59" s="334"/>
      <c r="Z59" s="335"/>
      <c r="AA59" s="431" t="e">
        <f>AA58/((1-$E$18)*(AA28)-AA29*charFracC/'General Information'!L23)</f>
        <v>#DIV/0!</v>
      </c>
      <c r="AB59" s="351" t="s">
        <v>897</v>
      </c>
      <c r="AC59" s="334"/>
      <c r="AD59" s="336"/>
      <c r="AE59" s="430" t="e">
        <f>AE58/((1-$E$18)*(AP28)-AP29*charFracC/'General Information'!L23)</f>
        <v>#DIV/0!</v>
      </c>
      <c r="AF59" s="351" t="s">
        <v>898</v>
      </c>
      <c r="AG59" s="22"/>
      <c r="AH59" s="13"/>
      <c r="AI59" s="271"/>
    </row>
    <row r="60" spans="2:36" ht="15.6" customHeight="1" x14ac:dyDescent="0.15">
      <c r="T60" s="10"/>
      <c r="U60" s="262" t="s">
        <v>813</v>
      </c>
      <c r="V60" s="13"/>
      <c r="W60" s="312"/>
      <c r="X60" s="56"/>
      <c r="Y60" s="57"/>
      <c r="Z60" s="61"/>
      <c r="AA60" s="2"/>
      <c r="AB60" s="22"/>
      <c r="AC60" s="57"/>
      <c r="AD60" s="13"/>
      <c r="AE60" s="312"/>
      <c r="AF60" s="22"/>
      <c r="AG60" s="22"/>
      <c r="AH60" s="13"/>
      <c r="AI60" s="271"/>
      <c r="AJ60" s="428"/>
    </row>
    <row r="61" spans="2:36" ht="15.6" customHeight="1" x14ac:dyDescent="0.15">
      <c r="B61" s="619" t="s">
        <v>803</v>
      </c>
      <c r="C61" s="620"/>
      <c r="D61" s="620"/>
      <c r="E61" s="620"/>
      <c r="F61" s="620"/>
      <c r="G61" s="620"/>
      <c r="H61" s="620"/>
      <c r="I61" s="620"/>
      <c r="J61" s="620"/>
      <c r="K61" s="620"/>
      <c r="L61" s="620"/>
      <c r="M61" s="620"/>
      <c r="N61" s="620"/>
      <c r="O61" s="620"/>
      <c r="P61" s="620"/>
      <c r="Q61" s="620"/>
      <c r="R61" s="621"/>
      <c r="T61" s="10"/>
      <c r="U61" s="13" t="s">
        <v>812</v>
      </c>
      <c r="V61" s="22" t="s">
        <v>159</v>
      </c>
      <c r="W61" s="432" t="e">
        <f>IF($W$42=3,AA22/W$32*1000,IF($W$42=1,W69/W$32*1000,W73/W$32*1000))</f>
        <v>#DIV/0!</v>
      </c>
      <c r="X61" s="356" t="s">
        <v>919</v>
      </c>
      <c r="Y61" s="329"/>
      <c r="Z61" s="330"/>
      <c r="AA61" s="432" t="e">
        <f>IF($W$42=3,AI22/AA$32*1000,IF($W$42=1,AA69/AA$32*1000,AA73/AA$32*1000))</f>
        <v>#DIV/0!</v>
      </c>
      <c r="AB61" s="356" t="s">
        <v>920</v>
      </c>
      <c r="AC61" s="329"/>
      <c r="AD61" s="357"/>
      <c r="AE61" s="432" t="e">
        <f>IF($W$42=3,AP22/AP$32*1000,IF($W$42=1,AE69/AP$32*1000,AE73/AP$32*1000))</f>
        <v>#DIV/0!</v>
      </c>
      <c r="AF61" s="351" t="s">
        <v>921</v>
      </c>
      <c r="AG61" s="22"/>
      <c r="AH61" s="13"/>
      <c r="AI61" s="271"/>
    </row>
    <row r="62" spans="2:36" ht="15.6" customHeight="1" x14ac:dyDescent="0.15">
      <c r="B62" s="616"/>
      <c r="C62" s="617"/>
      <c r="D62" s="617"/>
      <c r="E62" s="617"/>
      <c r="F62" s="617"/>
      <c r="G62" s="617"/>
      <c r="H62" s="617"/>
      <c r="I62" s="617"/>
      <c r="J62" s="617"/>
      <c r="K62" s="617"/>
      <c r="L62" s="617"/>
      <c r="M62" s="617"/>
      <c r="N62" s="617"/>
      <c r="O62" s="617"/>
      <c r="P62" s="617"/>
      <c r="Q62" s="617"/>
      <c r="R62" s="618"/>
      <c r="T62" s="10"/>
      <c r="U62" s="13" t="s">
        <v>810</v>
      </c>
      <c r="V62" s="22" t="s">
        <v>159</v>
      </c>
      <c r="W62" s="406" t="e">
        <f>IF($W$42=3,AA23/W$32*1000,IF($W$42=1,W70/W$32*1000,W74/W$32*1000))</f>
        <v>#DIV/0!</v>
      </c>
      <c r="X62" s="358" t="s">
        <v>922</v>
      </c>
      <c r="Y62" s="337"/>
      <c r="Z62" s="338"/>
      <c r="AA62" s="406" t="e">
        <f>IF($W$42=3,AI23/AA$32*1000,IF($W$42=1,AA70/AA$32*1000,AA74/AA$32*1000))</f>
        <v>#DIV/0!</v>
      </c>
      <c r="AB62" s="358" t="s">
        <v>923</v>
      </c>
      <c r="AC62" s="337"/>
      <c r="AD62" s="54"/>
      <c r="AE62" s="406" t="e">
        <f>IF($W$42=3,AP23/AP$32*1000,IF($W$42=1,AE70/AP$32*1000,AE74/AP$32*1000))</f>
        <v>#DIV/0!</v>
      </c>
      <c r="AF62" s="351" t="s">
        <v>924</v>
      </c>
      <c r="AG62" s="22"/>
      <c r="AH62" s="13"/>
      <c r="AI62" s="271"/>
    </row>
    <row r="63" spans="2:36" ht="15.6" customHeight="1" x14ac:dyDescent="0.15">
      <c r="B63" s="616"/>
      <c r="C63" s="617"/>
      <c r="D63" s="617"/>
      <c r="E63" s="617"/>
      <c r="F63" s="617"/>
      <c r="G63" s="617"/>
      <c r="H63" s="617"/>
      <c r="I63" s="617"/>
      <c r="J63" s="617"/>
      <c r="K63" s="617"/>
      <c r="L63" s="617"/>
      <c r="M63" s="617"/>
      <c r="N63" s="617"/>
      <c r="O63" s="617"/>
      <c r="P63" s="617"/>
      <c r="Q63" s="617"/>
      <c r="R63" s="618"/>
      <c r="T63" s="10"/>
      <c r="U63" s="13" t="s">
        <v>811</v>
      </c>
      <c r="V63" s="22" t="s">
        <v>159</v>
      </c>
      <c r="W63" s="407" t="e">
        <f>IF($W$42=3,AA24/W$32*1000,IF($W$42=1,W71/W$32*1000,W75/W$32*1000))</f>
        <v>#DIV/0!</v>
      </c>
      <c r="X63" s="359" t="s">
        <v>925</v>
      </c>
      <c r="Y63" s="310"/>
      <c r="Z63" s="311"/>
      <c r="AA63" s="407" t="e">
        <f>IF($W$42=3,AI24/AA$32*1000,IF($W$42=1,AA71/AA$32*1000,AA75/AA$32*1000))</f>
        <v>#DIV/0!</v>
      </c>
      <c r="AB63" s="359" t="s">
        <v>926</v>
      </c>
      <c r="AC63" s="310"/>
      <c r="AD63" s="309"/>
      <c r="AE63" s="407" t="e">
        <f>IF($W$42=3,AP24/AP$32*1000,IF($W$42=1,AE71/AP$32*1000,AE75/AP$32*1000))</f>
        <v>#DIV/0!</v>
      </c>
      <c r="AF63" s="351" t="s">
        <v>927</v>
      </c>
      <c r="AG63" s="22"/>
      <c r="AH63" s="13"/>
      <c r="AI63" s="271"/>
    </row>
    <row r="64" spans="2:36" ht="15.6" customHeight="1" x14ac:dyDescent="0.15">
      <c r="B64" s="616"/>
      <c r="C64" s="617"/>
      <c r="D64" s="617"/>
      <c r="E64" s="617"/>
      <c r="F64" s="617"/>
      <c r="G64" s="617"/>
      <c r="H64" s="617"/>
      <c r="I64" s="617"/>
      <c r="J64" s="617"/>
      <c r="K64" s="617"/>
      <c r="L64" s="617"/>
      <c r="M64" s="617"/>
      <c r="N64" s="617"/>
      <c r="O64" s="617"/>
      <c r="P64" s="617"/>
      <c r="Q64" s="617"/>
      <c r="R64" s="618"/>
      <c r="T64" s="10"/>
      <c r="U64" s="262" t="s">
        <v>809</v>
      </c>
      <c r="V64" s="13"/>
      <c r="W64" s="312"/>
      <c r="X64" s="22"/>
      <c r="Y64" s="57"/>
      <c r="Z64" s="61"/>
      <c r="AA64" s="2"/>
      <c r="AB64" s="22"/>
      <c r="AC64" s="57"/>
      <c r="AD64" s="13"/>
      <c r="AE64" s="312"/>
      <c r="AF64" s="22"/>
      <c r="AG64" s="22"/>
      <c r="AH64" s="13"/>
      <c r="AI64" s="271"/>
    </row>
    <row r="65" spans="2:35" ht="15.6" customHeight="1" x14ac:dyDescent="0.15">
      <c r="B65" s="616"/>
      <c r="C65" s="617"/>
      <c r="D65" s="617"/>
      <c r="E65" s="617"/>
      <c r="F65" s="617"/>
      <c r="G65" s="617"/>
      <c r="H65" s="617"/>
      <c r="I65" s="617"/>
      <c r="J65" s="617"/>
      <c r="K65" s="617"/>
      <c r="L65" s="617"/>
      <c r="M65" s="617"/>
      <c r="N65" s="617"/>
      <c r="O65" s="617"/>
      <c r="P65" s="617"/>
      <c r="Q65" s="617"/>
      <c r="R65" s="618"/>
      <c r="T65" s="10"/>
      <c r="U65" s="13" t="s">
        <v>812</v>
      </c>
      <c r="V65" s="22" t="s">
        <v>821</v>
      </c>
      <c r="W65" s="85" t="e">
        <f>IF(W42=2,W73/(W28*(1-E18)-W29*charFracC/fuelFracC),IF(W56&gt;0,((AA18-$N21)*44/12)/(W$56/fuelFracC)*1000,0))</f>
        <v>#DIV/0!</v>
      </c>
      <c r="X65" s="351" t="s">
        <v>972</v>
      </c>
      <c r="Y65" s="57"/>
      <c r="Z65" s="61"/>
      <c r="AA65" s="93" t="e">
        <f>IF(W42=2,AA73/(AA28*(1-E18)-AA29*charFracC/fuelFracC),IF(AA56&gt;0,((AI18-$N21)*44/12)/(AA$56/fuelFracC)*1000,0))</f>
        <v>#DIV/0!</v>
      </c>
      <c r="AB65" s="351" t="s">
        <v>903</v>
      </c>
      <c r="AC65" s="57"/>
      <c r="AD65" s="13"/>
      <c r="AE65" s="85" t="e">
        <f>IF(W42=2,AE73/(AP28*(1-E18)-AP29*charFracC/fuelFracC),IF(AE56&gt;0,((AP18-$N21)*44/12)/(AE$56/fuelFracC)*1000,0))</f>
        <v>#DIV/0!</v>
      </c>
      <c r="AF65" s="351" t="s">
        <v>904</v>
      </c>
      <c r="AG65" s="22"/>
      <c r="AH65" s="13"/>
      <c r="AI65" s="271"/>
    </row>
    <row r="66" spans="2:35" ht="15.6" customHeight="1" x14ac:dyDescent="0.15">
      <c r="B66" s="616"/>
      <c r="C66" s="617"/>
      <c r="D66" s="617"/>
      <c r="E66" s="617"/>
      <c r="F66" s="617"/>
      <c r="G66" s="617"/>
      <c r="H66" s="617"/>
      <c r="I66" s="617"/>
      <c r="J66" s="617"/>
      <c r="K66" s="617"/>
      <c r="L66" s="617"/>
      <c r="M66" s="617"/>
      <c r="N66" s="617"/>
      <c r="O66" s="617"/>
      <c r="P66" s="617"/>
      <c r="Q66" s="617"/>
      <c r="R66" s="618"/>
      <c r="T66" s="10"/>
      <c r="U66" s="13" t="s">
        <v>810</v>
      </c>
      <c r="V66" s="22" t="s">
        <v>821</v>
      </c>
      <c r="W66" s="406" t="e">
        <f>IF(W42=2,W74/(W28*(1-E18)-W29*charFracC/fuelFracC),IF(W56&gt;0,((AA19-$N22)*28/12)/(W$56/fuelFracC)*1000,0))</f>
        <v>#DIV/0!</v>
      </c>
      <c r="X66" s="351" t="s">
        <v>899</v>
      </c>
      <c r="Y66" s="325"/>
      <c r="Z66" s="326"/>
      <c r="AA66" s="401" t="e">
        <f>IF(W42=2,AA74/(AA28*(1-E18)-AA29*charFracC/fuelFracC),IF(AA56&gt;0,((AI19-$N22)*28/12)/(AA$56/fuelFracC)*1000,0))</f>
        <v>#DIV/0!</v>
      </c>
      <c r="AB66" s="351" t="s">
        <v>900</v>
      </c>
      <c r="AC66" s="325"/>
      <c r="AD66" s="324"/>
      <c r="AE66" s="406" t="e">
        <f>IF(W42=2,AE74/(AP28*(1-E18)-AP29*charFracC/fuelFracC),IF(AE56&gt;0,((AP19-$N22)*28/12)/(AE$56/fuelFracC)*1000,0))</f>
        <v>#DIV/0!</v>
      </c>
      <c r="AF66" s="351" t="s">
        <v>901</v>
      </c>
      <c r="AG66" s="22"/>
      <c r="AH66" s="13"/>
      <c r="AI66" s="271"/>
    </row>
    <row r="67" spans="2:35" ht="15.6" customHeight="1" x14ac:dyDescent="0.15">
      <c r="B67" s="616"/>
      <c r="C67" s="617"/>
      <c r="D67" s="617"/>
      <c r="E67" s="617"/>
      <c r="F67" s="617"/>
      <c r="G67" s="617"/>
      <c r="H67" s="617"/>
      <c r="I67" s="617"/>
      <c r="J67" s="617"/>
      <c r="K67" s="617"/>
      <c r="L67" s="617"/>
      <c r="M67" s="617"/>
      <c r="N67" s="617"/>
      <c r="O67" s="617"/>
      <c r="P67" s="617"/>
      <c r="Q67" s="617"/>
      <c r="R67" s="618"/>
      <c r="T67" s="10"/>
      <c r="U67" s="13" t="s">
        <v>811</v>
      </c>
      <c r="V67" s="22" t="s">
        <v>821</v>
      </c>
      <c r="W67" s="407" t="e">
        <f>IF(W42=2,W75/(W28*(1-E18)-W29*charFracC/fuelFracC),IF(W57&gt;0,(AA20-$N23)/(W$57/fuelFracC)*1000/1000000,0))</f>
        <v>#DIV/0!</v>
      </c>
      <c r="X67" s="351" t="s">
        <v>905</v>
      </c>
      <c r="Y67" s="310"/>
      <c r="Z67" s="311"/>
      <c r="AA67" s="408" t="e">
        <f>IF(W42=2,AA75/(AA28*(1-E18)-AA29*charFracC/fuelFracC),IF(AA57&gt;0,(AI20-$N23)/(AA$57/fuelFracC)*1000/1000000,0))</f>
        <v>#DIV/0!</v>
      </c>
      <c r="AB67" s="351" t="s">
        <v>906</v>
      </c>
      <c r="AC67" s="310"/>
      <c r="AD67" s="309"/>
      <c r="AE67" s="407" t="e">
        <f>IF(W42=2,AE75/(AP28*(1-E18)-AP29*charFracC/fuelFracC),IF(AE57&gt;0,(AP20-$N23)/(AE$57/fuelFracC)*1000/1000000,0))</f>
        <v>#DIV/0!</v>
      </c>
      <c r="AF67" s="351" t="s">
        <v>907</v>
      </c>
      <c r="AG67" s="22"/>
      <c r="AH67" s="13"/>
      <c r="AI67" s="271"/>
    </row>
    <row r="68" spans="2:35" ht="15.6" customHeight="1" x14ac:dyDescent="0.15">
      <c r="B68" s="616"/>
      <c r="C68" s="617"/>
      <c r="D68" s="617"/>
      <c r="E68" s="617"/>
      <c r="F68" s="617"/>
      <c r="G68" s="617"/>
      <c r="H68" s="617"/>
      <c r="I68" s="617"/>
      <c r="J68" s="617"/>
      <c r="K68" s="617"/>
      <c r="L68" s="617"/>
      <c r="M68" s="617"/>
      <c r="N68" s="617"/>
      <c r="O68" s="617"/>
      <c r="P68" s="617"/>
      <c r="Q68" s="617"/>
      <c r="R68" s="618"/>
      <c r="T68" s="10"/>
      <c r="U68" s="262" t="s">
        <v>947</v>
      </c>
      <c r="V68" s="13"/>
      <c r="W68" s="312"/>
      <c r="X68" s="22"/>
      <c r="Y68" s="57"/>
      <c r="Z68" s="61"/>
      <c r="AA68" s="2"/>
      <c r="AB68" s="22"/>
      <c r="AC68" s="57"/>
      <c r="AD68" s="13"/>
      <c r="AE68" s="312"/>
      <c r="AF68" s="22"/>
      <c r="AG68" s="22"/>
      <c r="AH68" s="21"/>
    </row>
    <row r="69" spans="2:35" ht="15.6" customHeight="1" x14ac:dyDescent="0.15">
      <c r="B69" s="616"/>
      <c r="C69" s="617"/>
      <c r="D69" s="617"/>
      <c r="E69" s="617"/>
      <c r="F69" s="617"/>
      <c r="G69" s="617"/>
      <c r="H69" s="617"/>
      <c r="I69" s="617"/>
      <c r="J69" s="617"/>
      <c r="K69" s="617"/>
      <c r="L69" s="617"/>
      <c r="M69" s="617"/>
      <c r="N69" s="617"/>
      <c r="O69" s="617"/>
      <c r="P69" s="617"/>
      <c r="Q69" s="617"/>
      <c r="R69" s="618"/>
      <c r="T69" s="10"/>
      <c r="U69" s="13" t="s">
        <v>812</v>
      </c>
      <c r="V69" s="22" t="s">
        <v>838</v>
      </c>
      <c r="W69" s="85" t="e">
        <f>W65*(W28*(1-$E$18)-W29*charFracC/fuelFracC)/1000</f>
        <v>#DIV/0!</v>
      </c>
      <c r="X69" s="360" t="s">
        <v>914</v>
      </c>
      <c r="Y69" s="361"/>
      <c r="Z69" s="362"/>
      <c r="AA69" s="93" t="e">
        <f>AA65*(AA28*(1-$E$18)-AA29*charFracC/fuelFracC)/1000</f>
        <v>#DIV/0!</v>
      </c>
      <c r="AB69" s="360" t="s">
        <v>915</v>
      </c>
      <c r="AC69" s="361"/>
      <c r="AD69" s="363"/>
      <c r="AE69" s="85" t="e">
        <f>AE65*(AP28*(1-$E$18)-AP29*charFracC/fuelFracC)/1000</f>
        <v>#DIV/0!</v>
      </c>
      <c r="AF69" s="351" t="s">
        <v>916</v>
      </c>
      <c r="AG69" s="22"/>
      <c r="AH69" s="21"/>
    </row>
    <row r="70" spans="2:35" ht="15.6" customHeight="1" x14ac:dyDescent="0.15">
      <c r="B70" s="613"/>
      <c r="C70" s="614"/>
      <c r="D70" s="614"/>
      <c r="E70" s="614"/>
      <c r="F70" s="614"/>
      <c r="G70" s="614"/>
      <c r="H70" s="614"/>
      <c r="I70" s="614"/>
      <c r="J70" s="614"/>
      <c r="K70" s="614"/>
      <c r="L70" s="614"/>
      <c r="M70" s="614"/>
      <c r="N70" s="614"/>
      <c r="O70" s="614"/>
      <c r="P70" s="614"/>
      <c r="Q70" s="614"/>
      <c r="R70" s="615"/>
      <c r="T70" s="10"/>
      <c r="U70" s="13" t="s">
        <v>810</v>
      </c>
      <c r="V70" s="22" t="s">
        <v>838</v>
      </c>
      <c r="W70" s="406" t="e">
        <f>W66*(W28*(1-$E$18)-W29*charFracC/fuelFracC)/1000</f>
        <v>#DIV/0!</v>
      </c>
      <c r="X70" s="358" t="s">
        <v>911</v>
      </c>
      <c r="Y70" s="337"/>
      <c r="Z70" s="338"/>
      <c r="AA70" s="401" t="e">
        <f>AA66*(AA28*(1-$E$18)-AA29*charFracC/fuelFracC)/1000</f>
        <v>#DIV/0!</v>
      </c>
      <c r="AB70" s="358" t="s">
        <v>912</v>
      </c>
      <c r="AC70" s="337"/>
      <c r="AD70" s="54"/>
      <c r="AE70" s="406" t="e">
        <f>AE66*(AP28*(1-$E$18)-AP29*charFracC/fuelFracC)/1000</f>
        <v>#DIV/0!</v>
      </c>
      <c r="AF70" s="351" t="s">
        <v>913</v>
      </c>
      <c r="AG70" s="22"/>
      <c r="AH70" s="21"/>
    </row>
    <row r="71" spans="2:35" ht="15.6" customHeight="1" x14ac:dyDescent="0.15">
      <c r="T71" s="10"/>
      <c r="U71" s="13" t="s">
        <v>811</v>
      </c>
      <c r="V71" s="22" t="s">
        <v>20</v>
      </c>
      <c r="W71" s="407" t="e">
        <f>W67*(W28*(1-$E$18)-W29*charFracC/fuelFracC)/1000</f>
        <v>#DIV/0!</v>
      </c>
      <c r="X71" s="359" t="s">
        <v>908</v>
      </c>
      <c r="Y71" s="310"/>
      <c r="Z71" s="311"/>
      <c r="AA71" s="408" t="e">
        <f>AA67*(AA28*(1-$E$18)-AA29*charFracC/fuelFracC)/1000</f>
        <v>#DIV/0!</v>
      </c>
      <c r="AB71" s="359" t="s">
        <v>909</v>
      </c>
      <c r="AC71" s="310"/>
      <c r="AD71" s="309"/>
      <c r="AE71" s="407" t="e">
        <f>AE67*(AP28*(1-$E$18)-AP29*charFracC/fuelFracC)/1000</f>
        <v>#DIV/0!</v>
      </c>
      <c r="AF71" s="351" t="s">
        <v>910</v>
      </c>
      <c r="AG71" s="22"/>
      <c r="AH71" s="21"/>
    </row>
    <row r="72" spans="2:35" ht="15.6" customHeight="1" x14ac:dyDescent="0.15">
      <c r="T72" s="10"/>
      <c r="U72" s="262" t="s">
        <v>948</v>
      </c>
      <c r="V72" s="13"/>
      <c r="W72" s="312"/>
      <c r="X72" s="22"/>
      <c r="Y72" s="57"/>
      <c r="Z72" s="61"/>
      <c r="AA72" s="2"/>
      <c r="AB72" s="22"/>
      <c r="AC72" s="57"/>
      <c r="AD72" s="13"/>
      <c r="AE72" s="312"/>
      <c r="AF72" s="22"/>
      <c r="AG72" s="22"/>
      <c r="AH72" s="21"/>
    </row>
    <row r="73" spans="2:35" ht="15.6" customHeight="1" x14ac:dyDescent="0.15">
      <c r="T73" s="10"/>
      <c r="U73" s="13" t="s">
        <v>812</v>
      </c>
      <c r="V73" s="22" t="s">
        <v>838</v>
      </c>
      <c r="W73" s="85">
        <f>W55*(AA18-N21)*(44*'General Information'!C22)/(0.008314*(AA21+273.15))/1000000</f>
        <v>0</v>
      </c>
      <c r="X73" s="360" t="s">
        <v>914</v>
      </c>
      <c r="Y73" s="361"/>
      <c r="Z73" s="362"/>
      <c r="AA73" s="93">
        <f>AA55*(AI18-N21)*(44*'General Information'!C22)/(0.008314*(AI21+273.15))/1000000</f>
        <v>0</v>
      </c>
      <c r="AB73" s="360" t="s">
        <v>915</v>
      </c>
      <c r="AC73" s="361"/>
      <c r="AD73" s="363"/>
      <c r="AE73" s="85">
        <f>AE55*(AP18-N21)*(44*'General Information'!C22)/(0.008314*(AP21+273.15))/1000000</f>
        <v>0</v>
      </c>
      <c r="AF73" s="351" t="s">
        <v>916</v>
      </c>
      <c r="AG73" s="22"/>
      <c r="AH73" s="21"/>
    </row>
    <row r="74" spans="2:35" ht="15.6" customHeight="1" x14ac:dyDescent="0.15">
      <c r="T74" s="10"/>
      <c r="U74" s="13" t="s">
        <v>810</v>
      </c>
      <c r="V74" s="22" t="s">
        <v>838</v>
      </c>
      <c r="W74" s="406">
        <f>W55*(AA19-N22)*(28*'General Information'!C22)/(0.008314*(AA21+273.15))/1000000</f>
        <v>0</v>
      </c>
      <c r="X74" s="358" t="s">
        <v>911</v>
      </c>
      <c r="Y74" s="337"/>
      <c r="Z74" s="338"/>
      <c r="AA74" s="401">
        <f>AA55*(AI19-N22)*(28*'General Information'!C22)/(0.008314*(AI21+273.15))/1000000</f>
        <v>0</v>
      </c>
      <c r="AB74" s="358" t="s">
        <v>912</v>
      </c>
      <c r="AC74" s="337"/>
      <c r="AD74" s="54"/>
      <c r="AE74" s="406">
        <f>AE55*(AP19-N22)*(28*'General Information'!C22)/(0.008314*(AP21+273.15))/1000000</f>
        <v>0</v>
      </c>
      <c r="AF74" s="351" t="s">
        <v>913</v>
      </c>
      <c r="AG74" s="22"/>
      <c r="AH74" s="21"/>
    </row>
    <row r="75" spans="2:35" ht="15.6" customHeight="1" thickBot="1" x14ac:dyDescent="0.2">
      <c r="T75" s="295"/>
      <c r="U75" s="13" t="s">
        <v>811</v>
      </c>
      <c r="V75" s="22" t="s">
        <v>20</v>
      </c>
      <c r="W75" s="407">
        <f>W55*(AA20-N23)/1000000</f>
        <v>0</v>
      </c>
      <c r="X75" s="359" t="s">
        <v>908</v>
      </c>
      <c r="Y75" s="310"/>
      <c r="Z75" s="311"/>
      <c r="AA75" s="408">
        <f>AA55*(AI20-N23)/1000000</f>
        <v>0</v>
      </c>
      <c r="AB75" s="359" t="s">
        <v>909</v>
      </c>
      <c r="AC75" s="310"/>
      <c r="AD75" s="309"/>
      <c r="AE75" s="407">
        <f>AE55*(AP20-N23)/1000000</f>
        <v>0</v>
      </c>
      <c r="AF75" s="351" t="s">
        <v>910</v>
      </c>
      <c r="AG75" s="22"/>
      <c r="AH75" s="296"/>
    </row>
    <row r="76" spans="2:35" ht="15.6" customHeight="1" thickTop="1" x14ac:dyDescent="0.15">
      <c r="T76" s="258"/>
      <c r="U76" s="259" t="s">
        <v>818</v>
      </c>
      <c r="V76" s="259"/>
      <c r="W76" s="313"/>
      <c r="X76" s="352"/>
      <c r="Y76" s="259"/>
      <c r="Z76" s="259"/>
      <c r="AA76" s="259"/>
      <c r="AB76" s="259"/>
      <c r="AC76" s="259"/>
      <c r="AD76" s="259"/>
      <c r="AE76" s="259"/>
      <c r="AF76" s="259"/>
      <c r="AG76" s="259"/>
      <c r="AH76" s="297"/>
    </row>
    <row r="77" spans="2:35" ht="15" customHeight="1" x14ac:dyDescent="0.15">
      <c r="T77" s="10"/>
      <c r="U77" s="13" t="s">
        <v>819</v>
      </c>
      <c r="V77" s="13" t="s">
        <v>20</v>
      </c>
      <c r="W77" s="406" t="e">
        <f>(IF(ISERROR(AA$38),W62,AVERAGE(W62,AA62))+AE62)*5</f>
        <v>#DIV/0!</v>
      </c>
      <c r="X77" s="22" t="s">
        <v>917</v>
      </c>
      <c r="Y77" s="13"/>
      <c r="Z77" s="13"/>
      <c r="AA77" s="13"/>
      <c r="AB77" s="13"/>
      <c r="AC77" s="13"/>
      <c r="AD77" s="13"/>
      <c r="AE77" s="13"/>
      <c r="AF77" s="13"/>
      <c r="AG77" s="13"/>
      <c r="AH77" s="21"/>
    </row>
    <row r="78" spans="2:35" ht="15" customHeight="1" thickBot="1" x14ac:dyDescent="0.2">
      <c r="T78" s="113"/>
      <c r="U78" s="114" t="s">
        <v>820</v>
      </c>
      <c r="V78" s="114" t="s">
        <v>20</v>
      </c>
      <c r="W78" s="409" t="e">
        <f>(IF(ISERROR(AA$38),W63,AVERAGE(W63,AA63))+AE63)*5</f>
        <v>#DIV/0!</v>
      </c>
      <c r="X78" s="115" t="s">
        <v>918</v>
      </c>
      <c r="Y78" s="114"/>
      <c r="Z78" s="114"/>
      <c r="AA78" s="114"/>
      <c r="AB78" s="114"/>
      <c r="AC78" s="114"/>
      <c r="AD78" s="114"/>
      <c r="AE78" s="114"/>
      <c r="AF78" s="114"/>
      <c r="AG78" s="114"/>
      <c r="AH78" s="298"/>
    </row>
    <row r="79" spans="2:35" ht="15" customHeight="1" thickTop="1" x14ac:dyDescent="0.15">
      <c r="T79" s="268"/>
      <c r="U79" s="136"/>
      <c r="V79" s="155"/>
      <c r="W79" s="137"/>
    </row>
    <row r="80" spans="2:35" ht="27.95" customHeight="1" x14ac:dyDescent="0.15">
      <c r="T80" s="268"/>
      <c r="U80" s="136"/>
      <c r="V80" s="155"/>
      <c r="W80" s="137"/>
    </row>
    <row r="81" spans="20:23" ht="27.95" customHeight="1" x14ac:dyDescent="0.15">
      <c r="T81" s="268"/>
      <c r="U81" s="136"/>
      <c r="V81" s="155"/>
      <c r="W81" s="137"/>
    </row>
    <row r="82" spans="20:23" ht="27.95" customHeight="1" x14ac:dyDescent="0.15">
      <c r="U82" s="136"/>
      <c r="V82" s="155"/>
      <c r="W82" s="13"/>
    </row>
  </sheetData>
  <mergeCells count="82">
    <mergeCell ref="B28:R28"/>
    <mergeCell ref="B33:R33"/>
    <mergeCell ref="B53:R53"/>
    <mergeCell ref="B54:R54"/>
    <mergeCell ref="B65:R65"/>
    <mergeCell ref="B34:R34"/>
    <mergeCell ref="B32:R32"/>
    <mergeCell ref="B31:R31"/>
    <mergeCell ref="B30:R30"/>
    <mergeCell ref="B68:R68"/>
    <mergeCell ref="B41:R41"/>
    <mergeCell ref="B46:R46"/>
    <mergeCell ref="B52:R52"/>
    <mergeCell ref="B57:R57"/>
    <mergeCell ref="B29:R29"/>
    <mergeCell ref="A2:S2"/>
    <mergeCell ref="W2:AB2"/>
    <mergeCell ref="AE2:AJ2"/>
    <mergeCell ref="AL2:AQ2"/>
    <mergeCell ref="AL3:AM3"/>
    <mergeCell ref="AP3:AQ3"/>
    <mergeCell ref="W3:X3"/>
    <mergeCell ref="AA3:AB3"/>
    <mergeCell ref="AI3:AJ3"/>
    <mergeCell ref="AE3:AF3"/>
    <mergeCell ref="AP4:AQ4"/>
    <mergeCell ref="D6:K6"/>
    <mergeCell ref="AI4:AJ4"/>
    <mergeCell ref="D11:K11"/>
    <mergeCell ref="D7:K7"/>
    <mergeCell ref="D8:K8"/>
    <mergeCell ref="D9:K9"/>
    <mergeCell ref="AA4:AB4"/>
    <mergeCell ref="D10:K10"/>
    <mergeCell ref="AL4:AM4"/>
    <mergeCell ref="M8:P8"/>
    <mergeCell ref="M6:P6"/>
    <mergeCell ref="M7:P7"/>
    <mergeCell ref="AE16:AF16"/>
    <mergeCell ref="K19:M19"/>
    <mergeCell ref="B21:D21"/>
    <mergeCell ref="AL16:AM16"/>
    <mergeCell ref="B16:D16"/>
    <mergeCell ref="K16:M16"/>
    <mergeCell ref="B19:D19"/>
    <mergeCell ref="B20:D20"/>
    <mergeCell ref="W16:X16"/>
    <mergeCell ref="B15:D15"/>
    <mergeCell ref="K15:M15"/>
    <mergeCell ref="B14:D14"/>
    <mergeCell ref="B18:D18"/>
    <mergeCell ref="E17:G17"/>
    <mergeCell ref="B48:R48"/>
    <mergeCell ref="B40:R40"/>
    <mergeCell ref="B39:R39"/>
    <mergeCell ref="B42:R42"/>
    <mergeCell ref="B43:R43"/>
    <mergeCell ref="B44:R44"/>
    <mergeCell ref="B45:R45"/>
    <mergeCell ref="B23:D23"/>
    <mergeCell ref="K20:M20"/>
    <mergeCell ref="K18:M18"/>
    <mergeCell ref="B27:R27"/>
    <mergeCell ref="K17:M17"/>
    <mergeCell ref="E25:R25"/>
    <mergeCell ref="B26:R26"/>
    <mergeCell ref="B35:R35"/>
    <mergeCell ref="B70:R70"/>
    <mergeCell ref="B66:R66"/>
    <mergeCell ref="B67:R67"/>
    <mergeCell ref="B69:R69"/>
    <mergeCell ref="B61:R61"/>
    <mergeCell ref="B62:R62"/>
    <mergeCell ref="B64:R64"/>
    <mergeCell ref="B50:R50"/>
    <mergeCell ref="B51:R51"/>
    <mergeCell ref="B55:R55"/>
    <mergeCell ref="B56:R56"/>
    <mergeCell ref="B58:R58"/>
    <mergeCell ref="B59:R59"/>
    <mergeCell ref="B63:R63"/>
    <mergeCell ref="B47:R47"/>
  </mergeCells>
  <phoneticPr fontId="4" type="noConversion"/>
  <conditionalFormatting sqref="W28:W40 AA28:AA40 AP28:AP41 AE44:AF51 W55:W75 AA55:AA75 AE55:AE75 W77:W78">
    <cfRule type="containsErrors" dxfId="13" priority="1" stopIfTrue="1">
      <formula>ISERROR(W28)</formula>
    </cfRule>
  </conditionalFormatting>
  <dataValidations count="1">
    <dataValidation allowBlank="1" showDropDown="1" showInputMessage="1" showErrorMessage="1" sqref="W42" xr:uid="{00000000-0002-0000-0200-000000000000}"/>
  </dataValidations>
  <pageMargins left="0.74791666666666667" right="0.74791666666666667" top="0.75" bottom="0.75" header="0.51180555555555551" footer="0.5"/>
  <pageSetup scale="90" firstPageNumber="0" orientation="landscape" horizontalDpi="300" verticalDpi="300" r:id="rId1"/>
  <headerFooter alignWithMargins="0">
    <oddFooter>&amp;L&amp;F&amp;C&amp;A&amp;RPage &amp;P</oddFooter>
  </headerFooter>
  <rowBreaks count="1" manualBreakCount="1">
    <brk id="37" max="16383" man="1"/>
  </rowBreaks>
  <colBreaks count="2" manualBreakCount="2">
    <brk id="19" max="1048575" man="1"/>
    <brk id="52" max="1048575" man="1"/>
  </colBreaks>
  <ignoredErrors>
    <ignoredError sqref="D9:D11 E19 E22:E23 N20"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028" r:id="rId4" name="ComboBox">
              <controlPr defaultSize="0" autoFill="0" autoLine="0" autoPict="0">
                <anchor moveWithCells="1" sizeWithCells="1">
                  <from>
                    <xdr:col>3</xdr:col>
                    <xdr:colOff>838200</xdr:colOff>
                    <xdr:row>15</xdr:row>
                    <xdr:rowOff>28575</xdr:rowOff>
                  </from>
                  <to>
                    <xdr:col>7</xdr:col>
                    <xdr:colOff>123825</xdr:colOff>
                    <xdr:row>16</xdr:row>
                    <xdr:rowOff>28575</xdr:rowOff>
                  </to>
                </anchor>
              </controlPr>
            </control>
          </mc:Choice>
        </mc:AlternateContent>
        <mc:AlternateContent xmlns:mc="http://schemas.openxmlformats.org/markup-compatibility/2006">
          <mc:Choice Requires="x14">
            <control shapeId="1109" r:id="rId5" name="Drop Down 85">
              <controlPr defaultSize="0" autoLine="0" autoPict="0">
                <anchor moveWithCells="1">
                  <from>
                    <xdr:col>21</xdr:col>
                    <xdr:colOff>9525</xdr:colOff>
                    <xdr:row>41</xdr:row>
                    <xdr:rowOff>9525</xdr:rowOff>
                  </from>
                  <to>
                    <xdr:col>22</xdr:col>
                    <xdr:colOff>552450</xdr:colOff>
                    <xdr:row>42</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DU82"/>
  <sheetViews>
    <sheetView showGridLines="0" showZeros="0" zoomScaleNormal="100" zoomScaleSheetLayoutView="100" workbookViewId="0">
      <selection activeCell="D6" sqref="D6:K6"/>
    </sheetView>
  </sheetViews>
  <sheetFormatPr defaultColWidth="15.640625" defaultRowHeight="27.95" customHeight="1" x14ac:dyDescent="0.15"/>
  <cols>
    <col min="1" max="1" width="1.75" style="1" customWidth="1"/>
    <col min="2" max="2" width="14.5625" style="1" customWidth="1"/>
    <col min="3" max="3" width="6.60546875" style="2" customWidth="1"/>
    <col min="4" max="4" width="12.67578125" style="1" customWidth="1"/>
    <col min="5" max="5" width="8.08984375" style="1" customWidth="1"/>
    <col min="6" max="6" width="2.01953125" style="1" customWidth="1"/>
    <col min="7" max="7" width="5.93359375" style="1" customWidth="1"/>
    <col min="8" max="8" width="2.01953125" style="2" customWidth="1"/>
    <col min="9" max="9" width="7.28125" style="2" customWidth="1"/>
    <col min="10" max="10" width="1.75" style="2" customWidth="1"/>
    <col min="11" max="11" width="14.42578125" style="2" customWidth="1"/>
    <col min="12" max="12" width="5.66015625" style="2" customWidth="1"/>
    <col min="13" max="13" width="14.5625" style="2" customWidth="1"/>
    <col min="14" max="14" width="7.68359375" style="2" customWidth="1"/>
    <col min="15" max="15" width="2.01953125" style="2" customWidth="1"/>
    <col min="16" max="16" width="6.60546875" style="2" customWidth="1"/>
    <col min="17" max="17" width="2.01953125" style="2" customWidth="1"/>
    <col min="18" max="18" width="7.28125" style="2" customWidth="1"/>
    <col min="19" max="19" width="1.75" style="1" customWidth="1"/>
    <col min="20" max="20" width="1.75" style="3" customWidth="1"/>
    <col min="21" max="21" width="25.484375" style="3" customWidth="1"/>
    <col min="22" max="22" width="13.88671875" style="3" bestFit="1" customWidth="1"/>
    <col min="23" max="23" width="12" style="3" customWidth="1"/>
    <col min="24" max="24" width="5.390625" style="3" customWidth="1"/>
    <col min="25" max="25" width="0.5390625" style="3" customWidth="1"/>
    <col min="26" max="26" width="0.80859375" style="3" customWidth="1"/>
    <col min="27" max="27" width="8.76171875" style="3" customWidth="1"/>
    <col min="28" max="28" width="6.7421875" style="3" customWidth="1"/>
    <col min="29" max="30" width="0.80859375" style="3" customWidth="1"/>
    <col min="31" max="31" width="8.08984375" style="3" customWidth="1"/>
    <col min="32" max="32" width="5.796875" style="3" customWidth="1"/>
    <col min="33" max="33" width="0.80859375" style="3" customWidth="1"/>
    <col min="34" max="34" width="0.671875" style="3" customWidth="1"/>
    <col min="35" max="35" width="8.08984375" style="3" customWidth="1"/>
    <col min="36" max="36" width="5.12109375" style="3" customWidth="1"/>
    <col min="37" max="37" width="0.80859375" style="3" customWidth="1"/>
    <col min="38" max="38" width="8.62890625" style="3" customWidth="1"/>
    <col min="39" max="39" width="7.28125" style="3" customWidth="1"/>
    <col min="40" max="41" width="0.94140625" style="3" customWidth="1"/>
    <col min="42" max="42" width="8.08984375" style="3" customWidth="1"/>
    <col min="43" max="43" width="6.203125" style="3" customWidth="1"/>
    <col min="44" max="44" width="1.75" style="3" customWidth="1"/>
    <col min="45" max="45" width="8.359375" customWidth="1"/>
    <col min="46" max="46" width="5.796875" customWidth="1"/>
    <col min="47" max="47" width="6.47265625" customWidth="1"/>
    <col min="48" max="48" width="5.390625" customWidth="1"/>
    <col min="49" max="49" width="6.7421875" customWidth="1"/>
    <col min="50" max="50" width="7.4140625" customWidth="1"/>
    <col min="51" max="51" width="20.90234375" customWidth="1"/>
    <col min="52" max="53" width="1.75" customWidth="1"/>
    <col min="54" max="54" width="33.7109375" customWidth="1"/>
    <col min="55" max="55" width="5.796875" customWidth="1"/>
    <col min="56" max="56" width="6.47265625" customWidth="1"/>
    <col min="57" max="57" width="5.390625" customWidth="1"/>
    <col min="58" max="58" width="6.7421875" customWidth="1"/>
    <col min="59" max="59" width="7.4140625" customWidth="1"/>
    <col min="60" max="60" width="20.90234375" customWidth="1"/>
    <col min="61" max="61" width="0" hidden="1" customWidth="1"/>
    <col min="62" max="70" width="9.03515625" customWidth="1"/>
    <col min="71" max="122" width="8.8984375" customWidth="1"/>
    <col min="123" max="16384" width="15.640625" style="1"/>
  </cols>
  <sheetData>
    <row r="1" spans="1:125" ht="6" customHeight="1" thickTop="1" thickBot="1" x14ac:dyDescent="0.2">
      <c r="A1" s="4"/>
      <c r="B1" s="5"/>
      <c r="C1" s="5"/>
      <c r="D1" s="5"/>
      <c r="E1" s="5"/>
      <c r="F1" s="5"/>
      <c r="G1" s="5"/>
      <c r="H1" s="5"/>
      <c r="I1" s="5"/>
      <c r="J1" s="5"/>
      <c r="K1" s="5"/>
      <c r="L1" s="5"/>
      <c r="M1" s="5"/>
      <c r="N1" s="5"/>
      <c r="O1" s="5"/>
      <c r="P1" s="5"/>
      <c r="Q1" s="5"/>
      <c r="R1" s="5"/>
      <c r="S1" s="6"/>
      <c r="T1" s="7"/>
      <c r="U1" s="8"/>
      <c r="V1" s="8"/>
      <c r="W1" s="8"/>
      <c r="X1" s="8"/>
      <c r="Y1" s="8"/>
      <c r="Z1" s="8"/>
      <c r="AA1" s="8"/>
      <c r="AB1" s="8"/>
      <c r="AC1" s="8"/>
      <c r="AD1" s="8"/>
      <c r="AE1" s="8"/>
      <c r="AF1" s="8"/>
      <c r="AG1" s="8"/>
      <c r="AH1" s="8"/>
      <c r="AI1" s="8"/>
      <c r="AJ1" s="8"/>
      <c r="AK1" s="8"/>
      <c r="AL1" s="8"/>
      <c r="AM1" s="8"/>
      <c r="AN1" s="8"/>
      <c r="AO1" s="8"/>
      <c r="AP1" s="8"/>
      <c r="AQ1" s="8"/>
      <c r="AR1" s="9"/>
      <c r="AS1" s="25"/>
      <c r="AT1" s="2"/>
      <c r="DS1"/>
      <c r="DT1"/>
      <c r="DU1"/>
    </row>
    <row r="2" spans="1:125" ht="13.5" customHeight="1" thickBot="1" x14ac:dyDescent="0.2">
      <c r="A2" s="637" t="str">
        <f>"WATER BOILING TEST - VERSION "&amp;version&amp;" - TEST #2"</f>
        <v>WATER BOILING TEST - VERSION 4.2.3 - TEST #2</v>
      </c>
      <c r="B2" s="637"/>
      <c r="C2" s="637"/>
      <c r="D2" s="637"/>
      <c r="E2" s="637"/>
      <c r="F2" s="637"/>
      <c r="G2" s="637"/>
      <c r="H2" s="637"/>
      <c r="I2" s="637"/>
      <c r="J2" s="637"/>
      <c r="K2" s="637"/>
      <c r="L2" s="637"/>
      <c r="M2" s="637"/>
      <c r="N2" s="637"/>
      <c r="O2" s="637"/>
      <c r="P2" s="637"/>
      <c r="Q2" s="637"/>
      <c r="R2" s="637"/>
      <c r="S2" s="637"/>
      <c r="T2" s="10"/>
      <c r="U2" s="255" t="str">
        <f>"TEST #2 "&amp;D7</f>
        <v xml:space="preserve">TEST #2 </v>
      </c>
      <c r="V2" s="11"/>
      <c r="W2" s="638" t="s">
        <v>0</v>
      </c>
      <c r="X2" s="638"/>
      <c r="Y2" s="638"/>
      <c r="Z2" s="638"/>
      <c r="AA2" s="638"/>
      <c r="AB2" s="638"/>
      <c r="AC2" s="256"/>
      <c r="AD2" s="12"/>
      <c r="AE2" s="638" t="s">
        <v>1</v>
      </c>
      <c r="AF2" s="638"/>
      <c r="AG2" s="638"/>
      <c r="AH2" s="638"/>
      <c r="AI2" s="638"/>
      <c r="AJ2" s="638"/>
      <c r="AK2" s="13"/>
      <c r="AL2" s="638" t="s">
        <v>2</v>
      </c>
      <c r="AM2" s="638"/>
      <c r="AN2" s="638"/>
      <c r="AO2" s="638"/>
      <c r="AP2" s="638"/>
      <c r="AQ2" s="638"/>
      <c r="AR2" s="14"/>
      <c r="AS2" s="148"/>
      <c r="AT2" s="71"/>
    </row>
    <row r="3" spans="1:125" ht="12.75" customHeight="1" x14ac:dyDescent="0.15">
      <c r="A3" s="16"/>
      <c r="B3" s="17" t="s">
        <v>748</v>
      </c>
      <c r="C3" s="17"/>
      <c r="D3" s="17"/>
      <c r="E3" s="17"/>
      <c r="F3" s="17"/>
      <c r="G3" s="17"/>
      <c r="H3" s="17"/>
      <c r="I3" s="17"/>
      <c r="J3" s="17"/>
      <c r="K3" s="17"/>
      <c r="L3" s="17"/>
      <c r="M3" s="17"/>
      <c r="N3" s="17"/>
      <c r="O3" s="17"/>
      <c r="P3" s="17"/>
      <c r="Q3" s="17"/>
      <c r="R3" s="17"/>
      <c r="S3" s="18"/>
      <c r="T3" s="19"/>
      <c r="U3" s="20"/>
      <c r="V3" s="21"/>
      <c r="W3" s="643" t="s">
        <v>3</v>
      </c>
      <c r="X3" s="648"/>
      <c r="Y3" s="23"/>
      <c r="Z3" s="13"/>
      <c r="AA3" s="648" t="s">
        <v>4</v>
      </c>
      <c r="AB3" s="649"/>
      <c r="AC3" s="24"/>
      <c r="AD3" s="12"/>
      <c r="AE3" s="643" t="s">
        <v>3</v>
      </c>
      <c r="AF3" s="648"/>
      <c r="AG3" s="23"/>
      <c r="AH3" s="13"/>
      <c r="AI3" s="648" t="s">
        <v>4</v>
      </c>
      <c r="AJ3" s="649"/>
      <c r="AK3" s="12"/>
      <c r="AL3" s="657" t="s">
        <v>3</v>
      </c>
      <c r="AM3" s="658"/>
      <c r="AN3" s="23"/>
      <c r="AO3" s="13"/>
      <c r="AP3" s="658" t="s">
        <v>5</v>
      </c>
      <c r="AQ3" s="659"/>
      <c r="AR3" s="14"/>
    </row>
    <row r="4" spans="1:125" ht="12.75" customHeight="1" x14ac:dyDescent="0.15">
      <c r="A4" s="25"/>
      <c r="B4" s="26" t="s">
        <v>749</v>
      </c>
      <c r="C4" s="26"/>
      <c r="D4" s="26"/>
      <c r="E4" s="26"/>
      <c r="F4" s="26"/>
      <c r="G4" s="26"/>
      <c r="H4" s="26"/>
      <c r="I4" s="26"/>
      <c r="J4" s="27"/>
      <c r="K4" s="27"/>
      <c r="L4" s="27"/>
      <c r="M4" s="27"/>
      <c r="N4" s="27"/>
      <c r="O4" s="27"/>
      <c r="P4" s="27"/>
      <c r="Q4" s="27"/>
      <c r="R4" s="27"/>
      <c r="S4" s="15"/>
      <c r="T4" s="28"/>
      <c r="U4" s="29"/>
      <c r="V4" s="30"/>
      <c r="W4" s="31"/>
      <c r="X4" s="31"/>
      <c r="Y4" s="32"/>
      <c r="Z4" s="33"/>
      <c r="AA4" s="650" t="s">
        <v>6</v>
      </c>
      <c r="AB4" s="631"/>
      <c r="AC4" s="24"/>
      <c r="AD4" s="12"/>
      <c r="AE4" s="31"/>
      <c r="AF4" s="31"/>
      <c r="AG4" s="32"/>
      <c r="AH4" s="33"/>
      <c r="AI4" s="650" t="s">
        <v>6</v>
      </c>
      <c r="AJ4" s="631"/>
      <c r="AK4" s="12"/>
      <c r="AL4" s="633"/>
      <c r="AM4" s="651"/>
      <c r="AN4" s="34"/>
      <c r="AO4" s="31"/>
      <c r="AP4" s="651"/>
      <c r="AQ4" s="644"/>
      <c r="AR4" s="14"/>
    </row>
    <row r="5" spans="1:125" ht="13.5" customHeight="1" thickBot="1" x14ac:dyDescent="0.2">
      <c r="A5" s="25"/>
      <c r="B5" s="35" t="s">
        <v>7</v>
      </c>
      <c r="D5" s="2"/>
      <c r="E5" s="2"/>
      <c r="F5" s="2"/>
      <c r="G5" s="2"/>
      <c r="S5" s="15"/>
      <c r="T5" s="28"/>
      <c r="U5" s="36" t="s">
        <v>8</v>
      </c>
      <c r="V5" s="37" t="s">
        <v>9</v>
      </c>
      <c r="W5" s="38" t="s">
        <v>10</v>
      </c>
      <c r="X5" s="38" t="s">
        <v>11</v>
      </c>
      <c r="Y5" s="39"/>
      <c r="Z5" s="38"/>
      <c r="AA5" s="38" t="s">
        <v>10</v>
      </c>
      <c r="AB5" s="37" t="s">
        <v>11</v>
      </c>
      <c r="AC5" s="24"/>
      <c r="AD5" s="12"/>
      <c r="AE5" s="38" t="s">
        <v>10</v>
      </c>
      <c r="AF5" s="38" t="s">
        <v>11</v>
      </c>
      <c r="AG5" s="40"/>
      <c r="AH5" s="41"/>
      <c r="AI5" s="38" t="s">
        <v>10</v>
      </c>
      <c r="AJ5" s="37" t="s">
        <v>11</v>
      </c>
      <c r="AK5" s="12"/>
      <c r="AL5" s="38" t="s">
        <v>10</v>
      </c>
      <c r="AM5" s="38" t="s">
        <v>11</v>
      </c>
      <c r="AN5" s="40"/>
      <c r="AO5" s="41"/>
      <c r="AP5" s="38" t="s">
        <v>10</v>
      </c>
      <c r="AQ5" s="37" t="s">
        <v>11</v>
      </c>
      <c r="AR5" s="14"/>
    </row>
    <row r="6" spans="1:125" ht="15.75" customHeight="1" x14ac:dyDescent="0.2">
      <c r="A6" s="25"/>
      <c r="B6" s="2" t="s">
        <v>12</v>
      </c>
      <c r="D6" s="629"/>
      <c r="E6" s="629"/>
      <c r="F6" s="629"/>
      <c r="G6" s="629"/>
      <c r="H6" s="629"/>
      <c r="I6" s="629"/>
      <c r="J6" s="629"/>
      <c r="K6" s="629"/>
      <c r="M6" s="635" t="s">
        <v>834</v>
      </c>
      <c r="N6" s="635"/>
      <c r="O6" s="635"/>
      <c r="P6" s="635"/>
      <c r="Q6" s="265"/>
      <c r="R6" s="265"/>
      <c r="S6" s="15"/>
      <c r="T6" s="28"/>
      <c r="U6" s="30" t="s">
        <v>716</v>
      </c>
      <c r="V6" s="24" t="s">
        <v>13</v>
      </c>
      <c r="W6" s="42"/>
      <c r="X6" s="43" t="s">
        <v>14</v>
      </c>
      <c r="Y6" s="44"/>
      <c r="Z6" s="43"/>
      <c r="AA6" s="42"/>
      <c r="AB6" s="45" t="s">
        <v>15</v>
      </c>
      <c r="AC6" s="45"/>
      <c r="AD6" s="12"/>
      <c r="AE6" s="42"/>
      <c r="AF6" s="43" t="s">
        <v>16</v>
      </c>
      <c r="AG6" s="46"/>
      <c r="AH6" s="13"/>
      <c r="AI6" s="42"/>
      <c r="AJ6" s="45" t="s">
        <v>17</v>
      </c>
      <c r="AK6" s="12"/>
      <c r="AL6" s="42"/>
      <c r="AM6" s="43" t="s">
        <v>18</v>
      </c>
      <c r="AN6" s="46"/>
      <c r="AO6" s="13"/>
      <c r="AP6" s="42"/>
      <c r="AQ6" s="45" t="s">
        <v>19</v>
      </c>
      <c r="AR6" s="14"/>
    </row>
    <row r="7" spans="1:125" ht="15.75" customHeight="1" x14ac:dyDescent="0.2">
      <c r="A7" s="25"/>
      <c r="B7" s="2" t="s">
        <v>27</v>
      </c>
      <c r="D7" s="660"/>
      <c r="E7" s="660"/>
      <c r="F7" s="660"/>
      <c r="G7" s="660"/>
      <c r="H7" s="660"/>
      <c r="I7" s="660"/>
      <c r="J7" s="660"/>
      <c r="K7" s="660"/>
      <c r="M7" s="636" t="s">
        <v>969</v>
      </c>
      <c r="N7" s="636"/>
      <c r="O7" s="636"/>
      <c r="P7" s="636"/>
      <c r="Q7" s="265"/>
      <c r="R7" s="265"/>
      <c r="S7" s="15"/>
      <c r="T7" s="28"/>
      <c r="U7" s="30" t="s">
        <v>873</v>
      </c>
      <c r="V7" s="24" t="s">
        <v>20</v>
      </c>
      <c r="W7" s="47"/>
      <c r="X7" s="43" t="s">
        <v>21</v>
      </c>
      <c r="Y7" s="44"/>
      <c r="Z7" s="43"/>
      <c r="AA7" s="47"/>
      <c r="AB7" s="45" t="s">
        <v>22</v>
      </c>
      <c r="AC7" s="45"/>
      <c r="AD7" s="12"/>
      <c r="AE7" s="47"/>
      <c r="AF7" s="43" t="s">
        <v>23</v>
      </c>
      <c r="AG7" s="46"/>
      <c r="AH7" s="13"/>
      <c r="AI7" s="47"/>
      <c r="AJ7" s="45" t="s">
        <v>24</v>
      </c>
      <c r="AK7" s="12"/>
      <c r="AL7" s="47"/>
      <c r="AM7" s="43" t="s">
        <v>25</v>
      </c>
      <c r="AN7" s="46"/>
      <c r="AO7" s="13"/>
      <c r="AP7" s="47"/>
      <c r="AQ7" s="45" t="s">
        <v>26</v>
      </c>
      <c r="AR7" s="14"/>
    </row>
    <row r="8" spans="1:125" ht="15.75" customHeight="1" x14ac:dyDescent="0.2">
      <c r="A8" s="25"/>
      <c r="B8" s="2" t="s">
        <v>36</v>
      </c>
      <c r="D8" s="661"/>
      <c r="E8" s="661"/>
      <c r="F8" s="661"/>
      <c r="G8" s="661"/>
      <c r="H8" s="661"/>
      <c r="I8" s="661"/>
      <c r="J8" s="661"/>
      <c r="K8" s="661"/>
      <c r="M8" s="656" t="s">
        <v>953</v>
      </c>
      <c r="N8" s="656"/>
      <c r="O8" s="656"/>
      <c r="P8" s="656"/>
      <c r="Q8" s="265"/>
      <c r="R8" s="265"/>
      <c r="S8" s="15"/>
      <c r="T8" s="28"/>
      <c r="U8" s="30" t="s">
        <v>28</v>
      </c>
      <c r="V8" s="24" t="s">
        <v>29</v>
      </c>
      <c r="W8" s="48"/>
      <c r="X8" s="49" t="s">
        <v>30</v>
      </c>
      <c r="Y8" s="50"/>
      <c r="Z8" s="49"/>
      <c r="AA8" s="48"/>
      <c r="AB8" s="51" t="s">
        <v>31</v>
      </c>
      <c r="AC8" s="51"/>
      <c r="AD8" s="52"/>
      <c r="AE8" s="48"/>
      <c r="AF8" s="49" t="s">
        <v>32</v>
      </c>
      <c r="AG8" s="53"/>
      <c r="AH8" s="54"/>
      <c r="AI8" s="48"/>
      <c r="AJ8" s="45" t="s">
        <v>33</v>
      </c>
      <c r="AK8" s="12"/>
      <c r="AL8" s="48"/>
      <c r="AM8" s="43" t="s">
        <v>34</v>
      </c>
      <c r="AN8" s="46"/>
      <c r="AO8" s="13"/>
      <c r="AP8" s="48"/>
      <c r="AQ8" s="45" t="s">
        <v>35</v>
      </c>
      <c r="AR8" s="14"/>
    </row>
    <row r="9" spans="1:125" ht="15.75" customHeight="1" x14ac:dyDescent="0.2">
      <c r="A9" s="25"/>
      <c r="B9" s="2" t="s">
        <v>50</v>
      </c>
      <c r="D9" s="662">
        <f>'General Information'!C7</f>
        <v>0</v>
      </c>
      <c r="E9" s="662"/>
      <c r="F9" s="662"/>
      <c r="G9" s="662"/>
      <c r="H9" s="662"/>
      <c r="I9" s="662"/>
      <c r="J9" s="662"/>
      <c r="K9" s="662"/>
      <c r="M9" s="265"/>
      <c r="N9" s="265"/>
      <c r="O9" s="265"/>
      <c r="P9" s="265"/>
      <c r="Q9" s="265"/>
      <c r="R9" s="265"/>
      <c r="S9" s="15"/>
      <c r="T9" s="28"/>
      <c r="U9" s="55" t="s">
        <v>37</v>
      </c>
      <c r="V9" s="24" t="s">
        <v>29</v>
      </c>
      <c r="W9" s="48"/>
      <c r="X9" s="49" t="s">
        <v>185</v>
      </c>
      <c r="Y9" s="50"/>
      <c r="Z9" s="49"/>
      <c r="AA9" s="48"/>
      <c r="AB9" s="51" t="s">
        <v>38</v>
      </c>
      <c r="AC9" s="51"/>
      <c r="AD9" s="52"/>
      <c r="AE9" s="48"/>
      <c r="AF9" s="49" t="s">
        <v>39</v>
      </c>
      <c r="AG9" s="53"/>
      <c r="AH9" s="54"/>
      <c r="AI9" s="48"/>
      <c r="AJ9" s="45" t="s">
        <v>40</v>
      </c>
      <c r="AK9" s="12"/>
      <c r="AL9" s="48"/>
      <c r="AM9" s="56" t="s">
        <v>41</v>
      </c>
      <c r="AN9" s="57"/>
      <c r="AO9" s="58"/>
      <c r="AP9" s="48"/>
      <c r="AQ9" s="59" t="s">
        <v>42</v>
      </c>
      <c r="AR9" s="14"/>
    </row>
    <row r="10" spans="1:125" ht="15.75" customHeight="1" x14ac:dyDescent="0.2">
      <c r="A10" s="25"/>
      <c r="B10" s="2" t="s">
        <v>43</v>
      </c>
      <c r="D10" s="653">
        <f>'General Information'!C10</f>
        <v>0</v>
      </c>
      <c r="E10" s="653"/>
      <c r="F10" s="653"/>
      <c r="G10" s="653"/>
      <c r="H10" s="653"/>
      <c r="I10" s="653"/>
      <c r="J10" s="653"/>
      <c r="K10" s="653"/>
      <c r="S10" s="15"/>
      <c r="T10" s="28"/>
      <c r="U10" s="55" t="s">
        <v>44</v>
      </c>
      <c r="V10" s="24" t="s">
        <v>29</v>
      </c>
      <c r="W10" s="48"/>
      <c r="X10" s="49" t="s">
        <v>186</v>
      </c>
      <c r="Y10" s="50"/>
      <c r="Z10" s="49"/>
      <c r="AA10" s="48"/>
      <c r="AB10" s="51" t="s">
        <v>45</v>
      </c>
      <c r="AC10" s="51"/>
      <c r="AD10" s="52"/>
      <c r="AE10" s="48"/>
      <c r="AF10" s="49" t="s">
        <v>46</v>
      </c>
      <c r="AG10" s="53"/>
      <c r="AH10" s="54"/>
      <c r="AI10" s="48"/>
      <c r="AJ10" s="45" t="s">
        <v>47</v>
      </c>
      <c r="AK10" s="12"/>
      <c r="AL10" s="48"/>
      <c r="AM10" s="56" t="s">
        <v>48</v>
      </c>
      <c r="AN10" s="57"/>
      <c r="AO10" s="58"/>
      <c r="AP10" s="48"/>
      <c r="AQ10" s="59" t="s">
        <v>49</v>
      </c>
      <c r="AR10" s="14"/>
    </row>
    <row r="11" spans="1:125" ht="15.75" customHeight="1" x14ac:dyDescent="0.2">
      <c r="A11" s="25"/>
      <c r="B11" s="2" t="s">
        <v>58</v>
      </c>
      <c r="D11" s="645">
        <f>'General Information'!J3</f>
        <v>0</v>
      </c>
      <c r="E11" s="645"/>
      <c r="F11" s="645"/>
      <c r="G11" s="645"/>
      <c r="H11" s="645"/>
      <c r="I11" s="645"/>
      <c r="J11" s="645"/>
      <c r="K11" s="645"/>
      <c r="S11" s="15"/>
      <c r="T11" s="28"/>
      <c r="U11" s="55" t="s">
        <v>51</v>
      </c>
      <c r="V11" s="24" t="s">
        <v>29</v>
      </c>
      <c r="W11" s="48"/>
      <c r="X11" s="49" t="s">
        <v>52</v>
      </c>
      <c r="Y11" s="50"/>
      <c r="Z11" s="49"/>
      <c r="AA11" s="48"/>
      <c r="AB11" s="51" t="s">
        <v>53</v>
      </c>
      <c r="AC11" s="51"/>
      <c r="AD11" s="52"/>
      <c r="AE11" s="48"/>
      <c r="AF11" s="49" t="s">
        <v>54</v>
      </c>
      <c r="AG11" s="53"/>
      <c r="AH11" s="54"/>
      <c r="AI11" s="48"/>
      <c r="AJ11" s="45" t="s">
        <v>55</v>
      </c>
      <c r="AK11" s="12"/>
      <c r="AL11" s="48"/>
      <c r="AM11" s="56" t="s">
        <v>56</v>
      </c>
      <c r="AN11" s="57"/>
      <c r="AO11" s="58"/>
      <c r="AP11" s="48"/>
      <c r="AQ11" s="59" t="s">
        <v>57</v>
      </c>
      <c r="AR11" s="14"/>
    </row>
    <row r="12" spans="1:125" ht="15.75" customHeight="1" x14ac:dyDescent="0.2">
      <c r="A12" s="25"/>
      <c r="B12" s="2"/>
      <c r="D12" s="60"/>
      <c r="E12" s="60"/>
      <c r="F12" s="60"/>
      <c r="G12" s="60"/>
      <c r="H12" s="60"/>
      <c r="I12" s="60"/>
      <c r="J12" s="60"/>
      <c r="S12" s="15"/>
      <c r="T12" s="28"/>
      <c r="U12" s="30" t="s">
        <v>59</v>
      </c>
      <c r="V12" s="24" t="s">
        <v>20</v>
      </c>
      <c r="W12" s="47"/>
      <c r="X12" s="43" t="s">
        <v>60</v>
      </c>
      <c r="Y12" s="44"/>
      <c r="Z12" s="43"/>
      <c r="AA12" s="47"/>
      <c r="AB12" s="45" t="s">
        <v>61</v>
      </c>
      <c r="AC12" s="45"/>
      <c r="AD12" s="12"/>
      <c r="AE12" s="47"/>
      <c r="AF12" s="43" t="s">
        <v>62</v>
      </c>
      <c r="AG12" s="46"/>
      <c r="AH12" s="13"/>
      <c r="AI12" s="47"/>
      <c r="AJ12" s="45" t="s">
        <v>63</v>
      </c>
      <c r="AK12" s="12"/>
      <c r="AL12" s="47"/>
      <c r="AM12" s="56" t="s">
        <v>64</v>
      </c>
      <c r="AN12" s="57"/>
      <c r="AO12" s="61"/>
      <c r="AP12" s="47"/>
      <c r="AQ12" s="59" t="s">
        <v>65</v>
      </c>
      <c r="AR12" s="14"/>
    </row>
    <row r="13" spans="1:125" ht="15.75" customHeight="1" thickBot="1" x14ac:dyDescent="0.25">
      <c r="A13" s="25"/>
      <c r="B13" s="62" t="s">
        <v>80</v>
      </c>
      <c r="C13" s="63"/>
      <c r="D13" s="64"/>
      <c r="E13" s="65"/>
      <c r="F13" s="64"/>
      <c r="G13" s="64"/>
      <c r="H13" s="64"/>
      <c r="I13" s="64"/>
      <c r="J13" s="64"/>
      <c r="K13" s="66"/>
      <c r="L13" s="66"/>
      <c r="M13" s="66"/>
      <c r="N13" s="66"/>
      <c r="O13" s="66"/>
      <c r="P13" s="66"/>
      <c r="Q13" s="66"/>
      <c r="R13" s="66"/>
      <c r="S13" s="15"/>
      <c r="T13" s="28"/>
      <c r="U13" s="55" t="s">
        <v>66</v>
      </c>
      <c r="V13" s="24" t="s">
        <v>20</v>
      </c>
      <c r="W13" s="47"/>
      <c r="X13" s="43" t="s">
        <v>67</v>
      </c>
      <c r="Y13" s="44"/>
      <c r="Z13" s="43"/>
      <c r="AA13" s="47"/>
      <c r="AB13" s="45" t="s">
        <v>68</v>
      </c>
      <c r="AC13" s="45"/>
      <c r="AD13" s="12"/>
      <c r="AE13" s="47"/>
      <c r="AF13" s="43" t="s">
        <v>69</v>
      </c>
      <c r="AG13" s="46"/>
      <c r="AH13" s="13"/>
      <c r="AI13" s="47"/>
      <c r="AJ13" s="45" t="s">
        <v>70</v>
      </c>
      <c r="AK13" s="12"/>
      <c r="AL13" s="47"/>
      <c r="AM13" s="56" t="s">
        <v>71</v>
      </c>
      <c r="AN13" s="57"/>
      <c r="AO13" s="58"/>
      <c r="AP13" s="47"/>
      <c r="AQ13" s="59" t="s">
        <v>72</v>
      </c>
      <c r="AR13" s="14"/>
    </row>
    <row r="14" spans="1:125" ht="15.75" customHeight="1" x14ac:dyDescent="0.2">
      <c r="A14" s="25"/>
      <c r="B14" s="654" t="s">
        <v>88</v>
      </c>
      <c r="C14" s="654"/>
      <c r="D14" s="654"/>
      <c r="E14" s="67" t="s">
        <v>89</v>
      </c>
      <c r="F14" s="67"/>
      <c r="G14" s="67" t="s">
        <v>90</v>
      </c>
      <c r="H14" s="68"/>
      <c r="I14" s="69" t="s">
        <v>11</v>
      </c>
      <c r="J14" s="68"/>
      <c r="K14" s="68" t="s">
        <v>88</v>
      </c>
      <c r="L14" s="68"/>
      <c r="M14" s="68"/>
      <c r="N14" s="67" t="s">
        <v>89</v>
      </c>
      <c r="O14" s="67"/>
      <c r="P14" s="68" t="s">
        <v>90</v>
      </c>
      <c r="Q14" s="68"/>
      <c r="R14" s="69" t="s">
        <v>11</v>
      </c>
      <c r="S14" s="15"/>
      <c r="T14" s="28"/>
      <c r="U14" s="55" t="s">
        <v>73</v>
      </c>
      <c r="V14" s="24" t="s">
        <v>20</v>
      </c>
      <c r="W14" s="47"/>
      <c r="X14" s="43" t="s">
        <v>74</v>
      </c>
      <c r="Y14" s="44"/>
      <c r="Z14" s="43"/>
      <c r="AA14" s="47"/>
      <c r="AB14" s="45" t="s">
        <v>75</v>
      </c>
      <c r="AC14" s="45"/>
      <c r="AD14" s="12"/>
      <c r="AE14" s="47"/>
      <c r="AF14" s="43" t="s">
        <v>76</v>
      </c>
      <c r="AG14" s="46"/>
      <c r="AH14" s="13"/>
      <c r="AI14" s="47"/>
      <c r="AJ14" s="45" t="s">
        <v>77</v>
      </c>
      <c r="AK14" s="12"/>
      <c r="AL14" s="47"/>
      <c r="AM14" s="56" t="s">
        <v>78</v>
      </c>
      <c r="AN14" s="57"/>
      <c r="AO14" s="58"/>
      <c r="AP14" s="47"/>
      <c r="AQ14" s="59" t="s">
        <v>79</v>
      </c>
      <c r="AR14" s="14"/>
    </row>
    <row r="15" spans="1:125" ht="15.75" customHeight="1" x14ac:dyDescent="0.2">
      <c r="A15" s="25"/>
      <c r="B15" s="655" t="s">
        <v>702</v>
      </c>
      <c r="C15" s="655"/>
      <c r="D15" s="655"/>
      <c r="E15" s="73"/>
      <c r="F15" s="74"/>
      <c r="G15" s="2" t="s">
        <v>29</v>
      </c>
      <c r="J15" s="75"/>
      <c r="K15" s="655" t="s">
        <v>93</v>
      </c>
      <c r="L15" s="655"/>
      <c r="M15" s="655"/>
      <c r="N15" s="196"/>
      <c r="O15" s="74"/>
      <c r="P15" s="22" t="s">
        <v>20</v>
      </c>
      <c r="R15" s="43" t="s">
        <v>94</v>
      </c>
      <c r="S15" s="15"/>
      <c r="T15" s="28"/>
      <c r="U15" s="55" t="s">
        <v>81</v>
      </c>
      <c r="V15" s="24" t="s">
        <v>20</v>
      </c>
      <c r="W15" s="47"/>
      <c r="X15" s="43" t="s">
        <v>82</v>
      </c>
      <c r="Y15" s="44"/>
      <c r="Z15" s="43"/>
      <c r="AA15" s="47"/>
      <c r="AB15" s="45" t="s">
        <v>83</v>
      </c>
      <c r="AC15" s="45"/>
      <c r="AD15" s="12"/>
      <c r="AE15" s="47"/>
      <c r="AF15" s="43" t="s">
        <v>84</v>
      </c>
      <c r="AG15" s="46"/>
      <c r="AH15" s="13"/>
      <c r="AI15" s="47"/>
      <c r="AJ15" s="45" t="s">
        <v>85</v>
      </c>
      <c r="AK15" s="12"/>
      <c r="AL15" s="47"/>
      <c r="AM15" s="56" t="s">
        <v>86</v>
      </c>
      <c r="AN15" s="57"/>
      <c r="AO15" s="58"/>
      <c r="AP15" s="47"/>
      <c r="AQ15" s="59" t="s">
        <v>87</v>
      </c>
      <c r="AR15" s="14"/>
    </row>
    <row r="16" spans="1:125" ht="15.75" customHeight="1" x14ac:dyDescent="0.15">
      <c r="A16" s="25"/>
      <c r="B16" s="623" t="s">
        <v>722</v>
      </c>
      <c r="C16" s="623"/>
      <c r="D16" s="623"/>
      <c r="E16" s="74">
        <v>1</v>
      </c>
      <c r="F16" s="74"/>
      <c r="G16" s="2"/>
      <c r="J16" s="75"/>
      <c r="K16" s="623" t="s">
        <v>99</v>
      </c>
      <c r="L16" s="623"/>
      <c r="M16" s="623"/>
      <c r="N16" s="196"/>
      <c r="O16" s="74"/>
      <c r="P16" s="22" t="s">
        <v>20</v>
      </c>
      <c r="R16" s="43" t="s">
        <v>100</v>
      </c>
      <c r="S16" s="15"/>
      <c r="T16" s="28"/>
      <c r="U16" s="55" t="s">
        <v>91</v>
      </c>
      <c r="V16" s="24" t="s">
        <v>92</v>
      </c>
      <c r="W16" s="652"/>
      <c r="X16" s="626"/>
      <c r="Y16" s="70"/>
      <c r="Z16" s="71"/>
      <c r="AA16" s="72"/>
      <c r="AB16" s="45"/>
      <c r="AC16" s="45"/>
      <c r="AD16" s="12"/>
      <c r="AE16" s="652"/>
      <c r="AF16" s="626"/>
      <c r="AG16" s="46"/>
      <c r="AH16" s="13"/>
      <c r="AI16" s="72"/>
      <c r="AJ16" s="21"/>
      <c r="AK16" s="12"/>
      <c r="AL16" s="652"/>
      <c r="AM16" s="626"/>
      <c r="AN16" s="46"/>
      <c r="AO16" s="13"/>
      <c r="AP16" s="13"/>
      <c r="AQ16" s="21"/>
      <c r="AR16" s="14"/>
    </row>
    <row r="17" spans="1:44" ht="15.75" customHeight="1" x14ac:dyDescent="0.2">
      <c r="A17" s="25"/>
      <c r="B17" s="1" t="s">
        <v>772</v>
      </c>
      <c r="E17" s="625"/>
      <c r="F17" s="625"/>
      <c r="G17" s="625"/>
      <c r="J17" s="75"/>
      <c r="K17" s="623" t="s">
        <v>104</v>
      </c>
      <c r="L17" s="623"/>
      <c r="M17" s="623"/>
      <c r="N17" s="196"/>
      <c r="O17" s="74"/>
      <c r="P17" s="22" t="s">
        <v>20</v>
      </c>
      <c r="R17" s="43" t="s">
        <v>105</v>
      </c>
      <c r="S17" s="15"/>
      <c r="T17" s="28"/>
      <c r="U17" s="30" t="s">
        <v>95</v>
      </c>
      <c r="V17" s="24" t="s">
        <v>20</v>
      </c>
      <c r="W17" s="76"/>
      <c r="X17" s="2"/>
      <c r="Y17" s="77"/>
      <c r="Z17" s="2"/>
      <c r="AA17" s="47"/>
      <c r="AB17" s="45" t="s">
        <v>96</v>
      </c>
      <c r="AC17" s="45"/>
      <c r="AD17" s="12"/>
      <c r="AE17" s="76"/>
      <c r="AF17" s="43"/>
      <c r="AG17" s="46"/>
      <c r="AH17" s="13"/>
      <c r="AI17" s="78">
        <f>AA17</f>
        <v>0</v>
      </c>
      <c r="AJ17" s="45" t="s">
        <v>97</v>
      </c>
      <c r="AK17" s="12"/>
      <c r="AL17" s="2"/>
      <c r="AM17" s="43"/>
      <c r="AN17" s="46"/>
      <c r="AO17" s="13"/>
      <c r="AP17" s="47"/>
      <c r="AQ17" s="45" t="s">
        <v>98</v>
      </c>
      <c r="AR17" s="14"/>
    </row>
    <row r="18" spans="1:44" ht="15" customHeight="1" x14ac:dyDescent="0.2">
      <c r="A18" s="25"/>
      <c r="B18" s="623" t="s">
        <v>815</v>
      </c>
      <c r="C18" s="623"/>
      <c r="D18" s="623"/>
      <c r="E18" s="241"/>
      <c r="F18" s="87"/>
      <c r="G18" s="2" t="s">
        <v>113</v>
      </c>
      <c r="I18" s="22" t="s">
        <v>929</v>
      </c>
      <c r="J18" s="75"/>
      <c r="K18" s="623" t="s">
        <v>108</v>
      </c>
      <c r="L18" s="623"/>
      <c r="M18" s="623"/>
      <c r="N18" s="196"/>
      <c r="O18" s="74"/>
      <c r="P18" s="22" t="s">
        <v>20</v>
      </c>
      <c r="R18" s="43" t="s">
        <v>109</v>
      </c>
      <c r="S18" s="15"/>
      <c r="T18" s="28"/>
      <c r="U18" s="30" t="s">
        <v>791</v>
      </c>
      <c r="V18" s="24" t="s">
        <v>781</v>
      </c>
      <c r="W18" s="76"/>
      <c r="X18" s="2"/>
      <c r="Y18" s="77"/>
      <c r="Z18" s="2"/>
      <c r="AA18" s="398"/>
      <c r="AB18" s="45" t="s">
        <v>793</v>
      </c>
      <c r="AC18" s="45"/>
      <c r="AD18" s="12"/>
      <c r="AE18" s="76"/>
      <c r="AF18" s="43"/>
      <c r="AG18" s="46"/>
      <c r="AH18" s="13"/>
      <c r="AI18" s="398"/>
      <c r="AJ18" s="45" t="s">
        <v>796</v>
      </c>
      <c r="AK18" s="12"/>
      <c r="AL18" s="2"/>
      <c r="AM18" s="43"/>
      <c r="AN18" s="46"/>
      <c r="AO18" s="13"/>
      <c r="AP18" s="398"/>
      <c r="AQ18" s="45" t="s">
        <v>799</v>
      </c>
      <c r="AR18" s="14"/>
    </row>
    <row r="19" spans="1:44" ht="15" customHeight="1" x14ac:dyDescent="0.2">
      <c r="A19" s="25"/>
      <c r="B19" s="623" t="s">
        <v>101</v>
      </c>
      <c r="C19" s="623"/>
      <c r="D19" s="623"/>
      <c r="E19" s="83">
        <f>'General Information'!L21</f>
        <v>0</v>
      </c>
      <c r="F19" s="84"/>
      <c r="G19" s="2" t="s">
        <v>102</v>
      </c>
      <c r="I19" s="22" t="s">
        <v>103</v>
      </c>
      <c r="J19" s="75"/>
      <c r="K19" s="623" t="s">
        <v>114</v>
      </c>
      <c r="L19" s="623"/>
      <c r="M19" s="623"/>
      <c r="N19" s="196"/>
      <c r="O19" s="74"/>
      <c r="P19" s="22" t="s">
        <v>20</v>
      </c>
      <c r="R19" s="43" t="s">
        <v>115</v>
      </c>
      <c r="S19" s="15"/>
      <c r="T19" s="10"/>
      <c r="U19" s="251" t="s">
        <v>792</v>
      </c>
      <c r="V19" s="24" t="s">
        <v>781</v>
      </c>
      <c r="W19" s="76"/>
      <c r="X19" s="2"/>
      <c r="Y19" s="77"/>
      <c r="Z19" s="2">
        <v>10</v>
      </c>
      <c r="AA19" s="398"/>
      <c r="AB19" s="45" t="s">
        <v>794</v>
      </c>
      <c r="AC19" s="45"/>
      <c r="AD19" s="12"/>
      <c r="AE19" s="76"/>
      <c r="AF19" s="43"/>
      <c r="AG19" s="46"/>
      <c r="AH19" s="13"/>
      <c r="AI19" s="398"/>
      <c r="AJ19" s="45" t="s">
        <v>797</v>
      </c>
      <c r="AK19" s="12"/>
      <c r="AL19" s="2"/>
      <c r="AM19" s="43"/>
      <c r="AN19" s="46"/>
      <c r="AO19" s="13"/>
      <c r="AP19" s="398"/>
      <c r="AQ19" s="45" t="s">
        <v>800</v>
      </c>
      <c r="AR19" s="14"/>
    </row>
    <row r="20" spans="1:44" ht="15" customHeight="1" x14ac:dyDescent="0.2">
      <c r="A20" s="25"/>
      <c r="B20" s="623" t="s">
        <v>106</v>
      </c>
      <c r="C20" s="623"/>
      <c r="D20" s="623"/>
      <c r="E20" s="85">
        <f>'General Information'!L22</f>
        <v>0</v>
      </c>
      <c r="F20" s="84"/>
      <c r="G20" s="2" t="s">
        <v>102</v>
      </c>
      <c r="I20" s="22" t="s">
        <v>107</v>
      </c>
      <c r="J20" s="75"/>
      <c r="K20" s="623" t="s">
        <v>117</v>
      </c>
      <c r="L20" s="623"/>
      <c r="M20" s="623"/>
      <c r="N20" s="195">
        <f>'General Information'!C20</f>
        <v>0</v>
      </c>
      <c r="O20" s="74"/>
      <c r="P20" s="22" t="s">
        <v>29</v>
      </c>
      <c r="R20" s="43" t="s">
        <v>118</v>
      </c>
      <c r="S20" s="15"/>
      <c r="T20" s="10"/>
      <c r="U20" s="251" t="s">
        <v>789</v>
      </c>
      <c r="V20" s="24" t="s">
        <v>790</v>
      </c>
      <c r="W20" s="371"/>
      <c r="X20" s="372"/>
      <c r="Y20" s="374"/>
      <c r="Z20" s="372"/>
      <c r="AA20" s="411"/>
      <c r="AB20" s="45" t="s">
        <v>795</v>
      </c>
      <c r="AC20" s="45"/>
      <c r="AD20" s="82"/>
      <c r="AE20" s="371"/>
      <c r="AF20" s="372"/>
      <c r="AG20" s="383"/>
      <c r="AH20" s="369"/>
      <c r="AI20" s="411"/>
      <c r="AJ20" s="45" t="s">
        <v>798</v>
      </c>
      <c r="AK20" s="82"/>
      <c r="AL20" s="371"/>
      <c r="AM20" s="372"/>
      <c r="AN20" s="383"/>
      <c r="AO20" s="369"/>
      <c r="AP20" s="411"/>
      <c r="AQ20" s="45" t="s">
        <v>801</v>
      </c>
      <c r="AR20" s="14"/>
    </row>
    <row r="21" spans="1:44" ht="15" customHeight="1" x14ac:dyDescent="0.2">
      <c r="A21" s="25"/>
      <c r="B21" s="627" t="s">
        <v>783</v>
      </c>
      <c r="C21" s="627"/>
      <c r="D21" s="627"/>
      <c r="E21" s="414"/>
      <c r="F21" s="87"/>
      <c r="I21" s="1"/>
      <c r="J21" s="75"/>
      <c r="K21" s="96" t="s">
        <v>780</v>
      </c>
      <c r="L21" s="43"/>
      <c r="M21" s="43"/>
      <c r="N21" s="454"/>
      <c r="O21" s="43"/>
      <c r="P21" s="43" t="s">
        <v>781</v>
      </c>
      <c r="Q21" s="43"/>
      <c r="R21" s="43" t="s">
        <v>786</v>
      </c>
      <c r="S21" s="15"/>
      <c r="T21" s="10"/>
      <c r="U21" s="436" t="s">
        <v>943</v>
      </c>
      <c r="V21" s="437" t="s">
        <v>29</v>
      </c>
      <c r="W21" s="373"/>
      <c r="X21" s="372"/>
      <c r="Y21" s="372"/>
      <c r="Z21" s="438"/>
      <c r="AA21" s="457"/>
      <c r="AB21" s="439" t="s">
        <v>944</v>
      </c>
      <c r="AC21" s="45"/>
      <c r="AD21" s="82"/>
      <c r="AE21" s="440"/>
      <c r="AF21" s="372"/>
      <c r="AG21" s="372"/>
      <c r="AH21" s="441"/>
      <c r="AI21" s="457"/>
      <c r="AJ21" s="439" t="s">
        <v>945</v>
      </c>
      <c r="AK21" s="369"/>
      <c r="AL21" s="440"/>
      <c r="AM21" s="372"/>
      <c r="AN21" s="374"/>
      <c r="AO21" s="372"/>
      <c r="AP21" s="457"/>
      <c r="AQ21" s="439" t="s">
        <v>946</v>
      </c>
      <c r="AR21" s="14"/>
    </row>
    <row r="22" spans="1:44" ht="15" customHeight="1" x14ac:dyDescent="0.15">
      <c r="A22" s="25"/>
      <c r="B22" s="250" t="s">
        <v>782</v>
      </c>
      <c r="C22" s="243"/>
      <c r="D22" s="243"/>
      <c r="E22" s="83">
        <f>E20*(1-E18)-(E18*((N20-E15)*4.2+2260))</f>
        <v>0</v>
      </c>
      <c r="F22" s="87"/>
      <c r="G22" s="2" t="s">
        <v>102</v>
      </c>
      <c r="I22" s="22" t="s">
        <v>928</v>
      </c>
      <c r="J22" s="75"/>
      <c r="K22" s="96"/>
      <c r="L22" s="43"/>
      <c r="M22" s="244" t="s">
        <v>784</v>
      </c>
      <c r="N22" s="454"/>
      <c r="O22" s="43"/>
      <c r="P22" s="43" t="s">
        <v>781</v>
      </c>
      <c r="Q22" s="43"/>
      <c r="R22" s="43" t="s">
        <v>787</v>
      </c>
      <c r="S22" s="15"/>
      <c r="T22" s="10"/>
      <c r="U22" s="251" t="s">
        <v>954</v>
      </c>
      <c r="V22" s="24" t="s">
        <v>20</v>
      </c>
      <c r="W22" s="76"/>
      <c r="X22" s="2"/>
      <c r="Y22" s="77"/>
      <c r="Z22" s="2"/>
      <c r="AA22" s="398"/>
      <c r="AB22" s="389" t="s">
        <v>914</v>
      </c>
      <c r="AC22" s="45"/>
      <c r="AD22" s="12"/>
      <c r="AE22" s="76"/>
      <c r="AF22" s="43"/>
      <c r="AG22" s="46"/>
      <c r="AH22" s="13"/>
      <c r="AI22" s="398"/>
      <c r="AJ22" s="452" t="s">
        <v>968</v>
      </c>
      <c r="AK22" s="12"/>
      <c r="AL22" s="2"/>
      <c r="AM22" s="43"/>
      <c r="AN22" s="46"/>
      <c r="AO22" s="13"/>
      <c r="AP22" s="398"/>
      <c r="AQ22" s="391" t="s">
        <v>916</v>
      </c>
      <c r="AR22" s="14"/>
    </row>
    <row r="23" spans="1:44" ht="15" customHeight="1" x14ac:dyDescent="0.15">
      <c r="A23" s="25"/>
      <c r="B23" s="622" t="s">
        <v>736</v>
      </c>
      <c r="C23" s="622"/>
      <c r="D23" s="622"/>
      <c r="E23" s="83">
        <f>'General Information'!L11</f>
        <v>0</v>
      </c>
      <c r="F23" s="2"/>
      <c r="G23" s="2" t="s">
        <v>102</v>
      </c>
      <c r="J23" s="75"/>
      <c r="K23" s="96"/>
      <c r="L23" s="43"/>
      <c r="M23" s="244" t="s">
        <v>785</v>
      </c>
      <c r="N23" s="454"/>
      <c r="O23" s="43"/>
      <c r="P23" s="43" t="s">
        <v>790</v>
      </c>
      <c r="Q23" s="43"/>
      <c r="R23" s="43" t="s">
        <v>788</v>
      </c>
      <c r="S23" s="15"/>
      <c r="T23" s="10"/>
      <c r="U23" s="251" t="s">
        <v>955</v>
      </c>
      <c r="V23" s="24" t="s">
        <v>20</v>
      </c>
      <c r="W23" s="76"/>
      <c r="X23" s="2"/>
      <c r="Y23" s="77"/>
      <c r="Z23" s="2">
        <v>10</v>
      </c>
      <c r="AA23" s="398"/>
      <c r="AB23" s="390" t="s">
        <v>911</v>
      </c>
      <c r="AC23" s="45"/>
      <c r="AD23" s="12"/>
      <c r="AE23" s="76"/>
      <c r="AF23" s="43"/>
      <c r="AG23" s="46"/>
      <c r="AH23" s="13"/>
      <c r="AI23" s="398"/>
      <c r="AJ23" s="358" t="s">
        <v>912</v>
      </c>
      <c r="AK23" s="12"/>
      <c r="AL23" s="2"/>
      <c r="AM23" s="43"/>
      <c r="AN23" s="46"/>
      <c r="AO23" s="13"/>
      <c r="AP23" s="398"/>
      <c r="AQ23" s="391" t="s">
        <v>913</v>
      </c>
      <c r="AR23" s="14"/>
    </row>
    <row r="24" spans="1:44" ht="15.75" customHeight="1" thickBot="1" x14ac:dyDescent="0.2">
      <c r="A24" s="25"/>
      <c r="D24" s="97"/>
      <c r="E24" s="98"/>
      <c r="F24" s="2"/>
      <c r="G24" s="2"/>
      <c r="K24" s="96"/>
      <c r="L24" s="43"/>
      <c r="M24" s="43"/>
      <c r="N24" s="43"/>
      <c r="O24" s="43"/>
      <c r="P24" s="43"/>
      <c r="Q24" s="43"/>
      <c r="R24" s="43"/>
      <c r="S24" s="15"/>
      <c r="T24" s="10"/>
      <c r="U24" s="453" t="s">
        <v>956</v>
      </c>
      <c r="V24" s="37" t="s">
        <v>20</v>
      </c>
      <c r="W24" s="79"/>
      <c r="X24" s="80"/>
      <c r="Y24" s="81"/>
      <c r="Z24" s="80"/>
      <c r="AA24" s="443"/>
      <c r="AB24" s="444" t="s">
        <v>908</v>
      </c>
      <c r="AC24" s="445"/>
      <c r="AD24" s="446"/>
      <c r="AE24" s="79"/>
      <c r="AF24" s="80"/>
      <c r="AG24" s="447"/>
      <c r="AH24" s="448"/>
      <c r="AI24" s="443"/>
      <c r="AJ24" s="449" t="s">
        <v>909</v>
      </c>
      <c r="AK24" s="446"/>
      <c r="AL24" s="79"/>
      <c r="AM24" s="80"/>
      <c r="AN24" s="447"/>
      <c r="AO24" s="448"/>
      <c r="AP24" s="443"/>
      <c r="AQ24" s="450" t="s">
        <v>910</v>
      </c>
      <c r="AR24" s="14"/>
    </row>
    <row r="25" spans="1:44" ht="15.75" customHeight="1" thickBot="1" x14ac:dyDescent="0.2">
      <c r="A25" s="25"/>
      <c r="B25" s="99" t="s">
        <v>737</v>
      </c>
      <c r="C25" s="100"/>
      <c r="D25" s="101"/>
      <c r="E25" s="646"/>
      <c r="F25" s="646"/>
      <c r="G25" s="646"/>
      <c r="H25" s="646"/>
      <c r="I25" s="646"/>
      <c r="J25" s="646"/>
      <c r="K25" s="646"/>
      <c r="L25" s="646"/>
      <c r="M25" s="646"/>
      <c r="N25" s="646"/>
      <c r="O25" s="646"/>
      <c r="P25" s="646"/>
      <c r="Q25" s="646"/>
      <c r="R25" s="647"/>
      <c r="S25" s="15"/>
      <c r="T25" s="10"/>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14"/>
    </row>
    <row r="26" spans="1:44" ht="15.75" customHeight="1" x14ac:dyDescent="0.15">
      <c r="A26" s="25"/>
      <c r="B26" s="616"/>
      <c r="C26" s="617"/>
      <c r="D26" s="617"/>
      <c r="E26" s="617"/>
      <c r="F26" s="617"/>
      <c r="G26" s="617"/>
      <c r="H26" s="617"/>
      <c r="I26" s="617"/>
      <c r="J26" s="617"/>
      <c r="K26" s="617"/>
      <c r="L26" s="617"/>
      <c r="M26" s="617"/>
      <c r="N26" s="617"/>
      <c r="O26" s="617"/>
      <c r="P26" s="617"/>
      <c r="Q26" s="617"/>
      <c r="R26" s="618"/>
      <c r="S26" s="15"/>
      <c r="T26" s="10"/>
      <c r="U26" s="377"/>
      <c r="V26" s="13"/>
      <c r="W26" s="86" t="s">
        <v>110</v>
      </c>
      <c r="X26" s="13"/>
      <c r="Y26" s="23"/>
      <c r="Z26" s="13"/>
      <c r="AA26" s="86" t="s">
        <v>111</v>
      </c>
      <c r="AB26" s="13"/>
      <c r="AC26" s="13"/>
      <c r="AD26" s="21"/>
      <c r="AE26" s="118" t="s">
        <v>964</v>
      </c>
      <c r="AF26" s="13"/>
      <c r="AG26" s="13"/>
      <c r="AH26" s="13"/>
      <c r="AI26" s="13"/>
      <c r="AJ26" s="13"/>
      <c r="AK26" s="13"/>
      <c r="AL26" s="13"/>
      <c r="AM26" s="13"/>
      <c r="AN26" s="13"/>
      <c r="AO26" s="13"/>
      <c r="AP26" s="13"/>
      <c r="AQ26" s="13"/>
      <c r="AR26" s="14"/>
    </row>
    <row r="27" spans="1:44" ht="15.75" customHeight="1" x14ac:dyDescent="0.15">
      <c r="A27" s="25"/>
      <c r="B27" s="616"/>
      <c r="C27" s="617"/>
      <c r="D27" s="617"/>
      <c r="E27" s="617"/>
      <c r="F27" s="617"/>
      <c r="G27" s="617"/>
      <c r="H27" s="617"/>
      <c r="I27" s="617"/>
      <c r="J27" s="617"/>
      <c r="K27" s="617"/>
      <c r="L27" s="617"/>
      <c r="M27" s="617"/>
      <c r="N27" s="617"/>
      <c r="O27" s="617"/>
      <c r="P27" s="617"/>
      <c r="Q27" s="617"/>
      <c r="R27" s="618"/>
      <c r="S27" s="15"/>
      <c r="T27" s="10"/>
      <c r="U27" s="378" t="s">
        <v>116</v>
      </c>
      <c r="V27" s="89" t="s">
        <v>9</v>
      </c>
      <c r="W27" s="89" t="s">
        <v>10</v>
      </c>
      <c r="X27" s="89" t="s">
        <v>11</v>
      </c>
      <c r="Y27" s="46"/>
      <c r="Z27" s="13"/>
      <c r="AA27" s="89" t="s">
        <v>10</v>
      </c>
      <c r="AB27" s="89" t="s">
        <v>11</v>
      </c>
      <c r="AC27" s="89"/>
      <c r="AD27" s="21"/>
      <c r="AE27" s="90" t="s">
        <v>116</v>
      </c>
      <c r="AF27" s="13"/>
      <c r="AG27" s="13"/>
      <c r="AH27" s="13"/>
      <c r="AI27" s="13"/>
      <c r="AJ27" s="13"/>
      <c r="AK27" s="13"/>
      <c r="AL27" s="13"/>
      <c r="AM27" s="89" t="s">
        <v>9</v>
      </c>
      <c r="AN27" s="13"/>
      <c r="AO27" s="13"/>
      <c r="AP27" s="89" t="s">
        <v>10</v>
      </c>
      <c r="AQ27" s="89" t="s">
        <v>11</v>
      </c>
      <c r="AR27" s="14"/>
    </row>
    <row r="28" spans="1:44" ht="15.75" customHeight="1" x14ac:dyDescent="0.2">
      <c r="A28" s="25"/>
      <c r="B28" s="616"/>
      <c r="C28" s="617"/>
      <c r="D28" s="617"/>
      <c r="E28" s="617"/>
      <c r="F28" s="617"/>
      <c r="G28" s="617"/>
      <c r="H28" s="617"/>
      <c r="I28" s="617"/>
      <c r="J28" s="617"/>
      <c r="K28" s="617"/>
      <c r="L28" s="617"/>
      <c r="M28" s="617"/>
      <c r="N28" s="617"/>
      <c r="O28" s="617"/>
      <c r="P28" s="617"/>
      <c r="Q28" s="617"/>
      <c r="R28" s="618"/>
      <c r="S28" s="15"/>
      <c r="T28" s="10"/>
      <c r="U28" s="379" t="s">
        <v>874</v>
      </c>
      <c r="V28" s="92" t="s">
        <v>20</v>
      </c>
      <c r="W28" s="93">
        <f>W7-AA7</f>
        <v>0</v>
      </c>
      <c r="X28" s="56" t="s">
        <v>119</v>
      </c>
      <c r="Y28" s="57"/>
      <c r="Z28" s="61"/>
      <c r="AA28" s="93">
        <f>AE7-AI7</f>
        <v>0</v>
      </c>
      <c r="AB28" s="56" t="s">
        <v>120</v>
      </c>
      <c r="AC28" s="56"/>
      <c r="AD28" s="21"/>
      <c r="AE28" s="95" t="s">
        <v>876</v>
      </c>
      <c r="AF28" s="61"/>
      <c r="AG28" s="61"/>
      <c r="AH28" s="61"/>
      <c r="AI28" s="61"/>
      <c r="AJ28" s="61"/>
      <c r="AK28" s="61"/>
      <c r="AL28" s="61"/>
      <c r="AM28" s="92" t="s">
        <v>20</v>
      </c>
      <c r="AN28" s="61"/>
      <c r="AO28" s="61"/>
      <c r="AP28" s="93">
        <f>AL7-AP7</f>
        <v>0</v>
      </c>
      <c r="AQ28" s="56" t="s">
        <v>121</v>
      </c>
      <c r="AR28" s="14"/>
    </row>
    <row r="29" spans="1:44" ht="15.75" customHeight="1" x14ac:dyDescent="0.2">
      <c r="A29" s="25"/>
      <c r="B29" s="616"/>
      <c r="C29" s="617"/>
      <c r="D29" s="617"/>
      <c r="E29" s="617"/>
      <c r="F29" s="617"/>
      <c r="G29" s="617"/>
      <c r="H29" s="617"/>
      <c r="I29" s="617"/>
      <c r="J29" s="617"/>
      <c r="K29" s="617"/>
      <c r="L29" s="617"/>
      <c r="M29" s="617"/>
      <c r="N29" s="617"/>
      <c r="O29" s="617"/>
      <c r="P29" s="617"/>
      <c r="Q29" s="617"/>
      <c r="R29" s="618"/>
      <c r="S29" s="15"/>
      <c r="T29" s="10"/>
      <c r="U29" s="379" t="s">
        <v>122</v>
      </c>
      <c r="V29" s="92" t="s">
        <v>20</v>
      </c>
      <c r="W29" s="93">
        <f>AA17-$N$19</f>
        <v>0</v>
      </c>
      <c r="X29" s="56" t="s">
        <v>123</v>
      </c>
      <c r="Y29" s="57"/>
      <c r="Z29" s="61"/>
      <c r="AA29" s="93">
        <f>IF(AA28=0,0,AI17-$N$19)</f>
        <v>0</v>
      </c>
      <c r="AB29" s="56" t="s">
        <v>124</v>
      </c>
      <c r="AC29" s="56"/>
      <c r="AD29" s="94"/>
      <c r="AE29" s="95" t="s">
        <v>125</v>
      </c>
      <c r="AF29" s="61"/>
      <c r="AG29" s="61"/>
      <c r="AH29" s="61"/>
      <c r="AI29" s="61"/>
      <c r="AJ29" s="61"/>
      <c r="AK29" s="61"/>
      <c r="AL29" s="61"/>
      <c r="AM29" s="92" t="s">
        <v>20</v>
      </c>
      <c r="AN29" s="61"/>
      <c r="AO29" s="61"/>
      <c r="AP29" s="93">
        <f>(AP17-$N$19)-W29</f>
        <v>0</v>
      </c>
      <c r="AQ29" s="56" t="s">
        <v>126</v>
      </c>
      <c r="AR29" s="14"/>
    </row>
    <row r="30" spans="1:44" ht="15.75" customHeight="1" x14ac:dyDescent="0.2">
      <c r="A30" s="25"/>
      <c r="B30" s="616"/>
      <c r="C30" s="617"/>
      <c r="D30" s="617"/>
      <c r="E30" s="617"/>
      <c r="F30" s="617"/>
      <c r="G30" s="617"/>
      <c r="H30" s="617"/>
      <c r="I30" s="617"/>
      <c r="J30" s="617"/>
      <c r="K30" s="617"/>
      <c r="L30" s="617"/>
      <c r="M30" s="617"/>
      <c r="N30" s="617"/>
      <c r="O30" s="617"/>
      <c r="P30" s="617"/>
      <c r="Q30" s="617"/>
      <c r="R30" s="618"/>
      <c r="S30" s="15"/>
      <c r="T30" s="10"/>
      <c r="U30" s="379" t="s">
        <v>875</v>
      </c>
      <c r="V30" s="92" t="s">
        <v>20</v>
      </c>
      <c r="W30" s="327" t="e">
        <f>(W28*($E$20*(1-$E$18)-$E$18*(4.186*($N$20-$E$15)+2257))-W29*$E23)/$E$20</f>
        <v>#DIV/0!</v>
      </c>
      <c r="X30" s="328" t="s">
        <v>127</v>
      </c>
      <c r="Y30" s="329"/>
      <c r="Z30" s="330"/>
      <c r="AA30" s="327">
        <f>IF(AA28=0,0,(AA28*($E$20*(1-$E$18)-$E$18*(4.186*($N$20-$E$15)+2257))-AA29*$E23)/$E$20)</f>
        <v>0</v>
      </c>
      <c r="AB30" s="328" t="s">
        <v>128</v>
      </c>
      <c r="AC30" s="328"/>
      <c r="AD30" s="331"/>
      <c r="AE30" s="332" t="s">
        <v>875</v>
      </c>
      <c r="AF30" s="330"/>
      <c r="AG30" s="330"/>
      <c r="AH30" s="330"/>
      <c r="AI30" s="330"/>
      <c r="AJ30" s="330"/>
      <c r="AK30" s="330"/>
      <c r="AL30" s="330"/>
      <c r="AM30" s="333" t="s">
        <v>20</v>
      </c>
      <c r="AN30" s="330"/>
      <c r="AO30" s="330"/>
      <c r="AP30" s="327" t="e">
        <f>(AP28*($E$20*(1-$E$18)-$E$18*(4.186*($N$20-$E$15)+2257))-AP29*$E23)/$E$20</f>
        <v>#DIV/0!</v>
      </c>
      <c r="AQ30" s="56" t="s">
        <v>129</v>
      </c>
      <c r="AR30" s="14"/>
    </row>
    <row r="31" spans="1:44" ht="15.75" customHeight="1" x14ac:dyDescent="0.2">
      <c r="A31" s="25"/>
      <c r="B31" s="616"/>
      <c r="C31" s="617"/>
      <c r="D31" s="617"/>
      <c r="E31" s="617"/>
      <c r="F31" s="617"/>
      <c r="G31" s="617"/>
      <c r="H31" s="617"/>
      <c r="I31" s="617"/>
      <c r="J31" s="617"/>
      <c r="K31" s="617"/>
      <c r="L31" s="617"/>
      <c r="M31" s="617"/>
      <c r="N31" s="617"/>
      <c r="O31" s="617"/>
      <c r="P31" s="617"/>
      <c r="Q31" s="617"/>
      <c r="R31" s="618"/>
      <c r="S31" s="15"/>
      <c r="T31" s="10"/>
      <c r="U31" s="379" t="s">
        <v>130</v>
      </c>
      <c r="V31" s="92" t="s">
        <v>20</v>
      </c>
      <c r="W31" s="93">
        <f>SUM(W12:W15)-SUM(AA12:AA15)</f>
        <v>0</v>
      </c>
      <c r="X31" s="56" t="s">
        <v>131</v>
      </c>
      <c r="Y31" s="57"/>
      <c r="Z31" s="61"/>
      <c r="AA31" s="93">
        <f>SUM(AE12:AE15)-SUM(AI12:AI15)</f>
        <v>0</v>
      </c>
      <c r="AB31" s="56" t="s">
        <v>132</v>
      </c>
      <c r="AC31" s="56"/>
      <c r="AD31" s="94"/>
      <c r="AE31" s="95" t="s">
        <v>133</v>
      </c>
      <c r="AF31" s="61"/>
      <c r="AG31" s="61"/>
      <c r="AH31" s="61"/>
      <c r="AI31" s="61"/>
      <c r="AJ31" s="61"/>
      <c r="AK31" s="61"/>
      <c r="AL31" s="61"/>
      <c r="AM31" s="92" t="s">
        <v>20</v>
      </c>
      <c r="AN31" s="61"/>
      <c r="AO31" s="61"/>
      <c r="AP31" s="93">
        <f>(AL12-AP12)+(AL13-AP13)+(AL14-AP14)+(AL15-AP15)</f>
        <v>0</v>
      </c>
      <c r="AQ31" s="56" t="s">
        <v>134</v>
      </c>
      <c r="AR31" s="14"/>
    </row>
    <row r="32" spans="1:44" ht="15.75" customHeight="1" x14ac:dyDescent="0.2">
      <c r="A32" s="25"/>
      <c r="B32" s="616"/>
      <c r="C32" s="617"/>
      <c r="D32" s="617"/>
      <c r="E32" s="617"/>
      <c r="F32" s="617"/>
      <c r="G32" s="617"/>
      <c r="H32" s="617"/>
      <c r="I32" s="617"/>
      <c r="J32" s="617"/>
      <c r="K32" s="617"/>
      <c r="L32" s="617"/>
      <c r="M32" s="617"/>
      <c r="N32" s="617"/>
      <c r="O32" s="617"/>
      <c r="P32" s="617"/>
      <c r="Q32" s="617"/>
      <c r="R32" s="618"/>
      <c r="S32" s="15"/>
      <c r="T32" s="10"/>
      <c r="U32" s="379" t="s">
        <v>135</v>
      </c>
      <c r="V32" s="92" t="s">
        <v>20</v>
      </c>
      <c r="W32" s="93" t="e">
        <f>((AA12-$N15)*(AA8-W8)/($N$20-W8)+(AA13-$N16)*(AA9-W9)/($N$20-W9)+(AA14-$N17)*(AA10-W10)/($N$20-W10)+(AA15-$N18)*(AA11-W11)/($N$20-W11))</f>
        <v>#DIV/0!</v>
      </c>
      <c r="X32" s="56" t="s">
        <v>136</v>
      </c>
      <c r="Y32" s="57"/>
      <c r="Z32" s="61"/>
      <c r="AA32" s="93" t="e">
        <f>((AI12-$N15)*(AI8-AE8)/($N$20-AE8)+(AI13-$N16)*(AI9-AE9)/($N$20-AE9)+(AI14-$N17)*(AI10-AE10)/($N$20-AE10)+(AI15-$N18)*(AI11-AE11)/($N$20-AE11))</f>
        <v>#DIV/0!</v>
      </c>
      <c r="AB32" s="56" t="s">
        <v>137</v>
      </c>
      <c r="AC32" s="56"/>
      <c r="AD32" s="94"/>
      <c r="AE32" s="95" t="s">
        <v>138</v>
      </c>
      <c r="AF32" s="61"/>
      <c r="AG32" s="61"/>
      <c r="AH32" s="61"/>
      <c r="AI32" s="61"/>
      <c r="AJ32" s="61"/>
      <c r="AK32" s="61"/>
      <c r="AL32" s="61"/>
      <c r="AM32" s="92" t="s">
        <v>20</v>
      </c>
      <c r="AN32" s="61"/>
      <c r="AO32" s="61"/>
      <c r="AP32" s="93">
        <f>(AP12-$N$15+((AP9-25)/(N20-25))*(AP13-N16)+((AP10-25)/(N20-25))*(AP14-N17)+((AP11-25)/(N20-25))*(AP15-N18))</f>
        <v>0</v>
      </c>
      <c r="AQ32" s="56" t="s">
        <v>139</v>
      </c>
      <c r="AR32" s="14"/>
    </row>
    <row r="33" spans="1:122" ht="15.75" customHeight="1" x14ac:dyDescent="0.2">
      <c r="A33" s="25"/>
      <c r="B33" s="616"/>
      <c r="C33" s="617"/>
      <c r="D33" s="617"/>
      <c r="E33" s="617"/>
      <c r="F33" s="617"/>
      <c r="G33" s="617"/>
      <c r="H33" s="617"/>
      <c r="I33" s="617"/>
      <c r="J33" s="617"/>
      <c r="K33" s="617"/>
      <c r="L33" s="617"/>
      <c r="M33" s="617"/>
      <c r="N33" s="617"/>
      <c r="O33" s="617"/>
      <c r="P33" s="617"/>
      <c r="Q33" s="617"/>
      <c r="R33" s="618"/>
      <c r="S33" s="15"/>
      <c r="T33" s="10"/>
      <c r="U33" s="379" t="s">
        <v>140</v>
      </c>
      <c r="V33" s="92" t="s">
        <v>141</v>
      </c>
      <c r="W33" s="93">
        <f>(AA6-W6)*1440</f>
        <v>0</v>
      </c>
      <c r="X33" s="56" t="s">
        <v>142</v>
      </c>
      <c r="Y33" s="57"/>
      <c r="Z33" s="61"/>
      <c r="AA33" s="93">
        <f>(AI6-AE6)*1440</f>
        <v>0</v>
      </c>
      <c r="AB33" s="56" t="s">
        <v>143</v>
      </c>
      <c r="AC33" s="56"/>
      <c r="AD33" s="94"/>
      <c r="AE33" s="95" t="s">
        <v>144</v>
      </c>
      <c r="AF33" s="61"/>
      <c r="AG33" s="61"/>
      <c r="AH33" s="61"/>
      <c r="AI33" s="61"/>
      <c r="AJ33" s="61"/>
      <c r="AK33" s="61"/>
      <c r="AL33" s="61"/>
      <c r="AM33" s="92" t="s">
        <v>141</v>
      </c>
      <c r="AN33" s="61"/>
      <c r="AO33" s="61"/>
      <c r="AP33" s="93">
        <f>(AP6-AL6)*1440</f>
        <v>0</v>
      </c>
      <c r="AQ33" s="56" t="s">
        <v>145</v>
      </c>
      <c r="AR33" s="14"/>
    </row>
    <row r="34" spans="1:122" ht="15.75" customHeight="1" x14ac:dyDescent="0.2">
      <c r="A34" s="25"/>
      <c r="B34" s="616"/>
      <c r="C34" s="617"/>
      <c r="D34" s="617"/>
      <c r="E34" s="617"/>
      <c r="F34" s="617"/>
      <c r="G34" s="617"/>
      <c r="H34" s="617"/>
      <c r="I34" s="617"/>
      <c r="J34" s="617"/>
      <c r="K34" s="617"/>
      <c r="L34" s="617"/>
      <c r="M34" s="617"/>
      <c r="N34" s="617"/>
      <c r="O34" s="617"/>
      <c r="P34" s="617"/>
      <c r="Q34" s="617"/>
      <c r="R34" s="618"/>
      <c r="S34" s="15"/>
      <c r="T34" s="10"/>
      <c r="U34" s="379" t="s">
        <v>146</v>
      </c>
      <c r="V34" s="92" t="s">
        <v>141</v>
      </c>
      <c r="W34" s="327" t="e">
        <f>W33*75/(N20-W8)</f>
        <v>#DIV/0!</v>
      </c>
      <c r="X34" s="56" t="s">
        <v>147</v>
      </c>
      <c r="Y34" s="57"/>
      <c r="Z34" s="61"/>
      <c r="AA34" s="327" t="e">
        <f>AA33*75/(N20-AE8)</f>
        <v>#DIV/0!</v>
      </c>
      <c r="AB34" s="56" t="s">
        <v>148</v>
      </c>
      <c r="AC34" s="56"/>
      <c r="AD34" s="94"/>
      <c r="AE34" s="95" t="s">
        <v>149</v>
      </c>
      <c r="AF34" s="61"/>
      <c r="AG34" s="61"/>
      <c r="AH34" s="61"/>
      <c r="AI34" s="61"/>
      <c r="AJ34" s="61"/>
      <c r="AK34" s="61"/>
      <c r="AL34" s="61"/>
      <c r="AM34" s="92" t="s">
        <v>113</v>
      </c>
      <c r="AN34" s="61"/>
      <c r="AO34" s="61"/>
      <c r="AP34" s="433" t="e">
        <f>(4.186*((AL12-$N15+AP32)/2)*(AP8-AL8)+2260*AP31)/(AP30*$E$20)</f>
        <v>#DIV/0!</v>
      </c>
      <c r="AQ34" s="56" t="s">
        <v>150</v>
      </c>
      <c r="AR34" s="14"/>
    </row>
    <row r="35" spans="1:122" ht="15.75" customHeight="1" x14ac:dyDescent="0.2">
      <c r="A35" s="25"/>
      <c r="B35" s="613"/>
      <c r="C35" s="614"/>
      <c r="D35" s="614"/>
      <c r="E35" s="614"/>
      <c r="F35" s="614"/>
      <c r="G35" s="614"/>
      <c r="H35" s="614"/>
      <c r="I35" s="614"/>
      <c r="J35" s="614"/>
      <c r="K35" s="614"/>
      <c r="L35" s="614"/>
      <c r="M35" s="614"/>
      <c r="N35" s="614"/>
      <c r="O35" s="614"/>
      <c r="P35" s="614"/>
      <c r="Q35" s="614"/>
      <c r="R35" s="615"/>
      <c r="S35" s="15"/>
      <c r="T35" s="10"/>
      <c r="U35" s="379" t="s">
        <v>149</v>
      </c>
      <c r="V35" s="92" t="s">
        <v>113</v>
      </c>
      <c r="W35" s="433" t="e">
        <f>(4.186*SUM((W12-$N15)*(AA8-W8),(W13-$N16)*(AA9-W9),(W14-$N17)*(AA10-W10),(W15-$N18)*(AA11-W11))+2260*W31)/(W30*$E20)</f>
        <v>#DIV/0!</v>
      </c>
      <c r="X35" s="56" t="s">
        <v>151</v>
      </c>
      <c r="Y35" s="57"/>
      <c r="Z35" s="61"/>
      <c r="AA35" s="433" t="e">
        <f>(4.186*SUM((AE12-$N15)*(AI8-AE8),(AE13-$N16)*(AI9-AE9),(AE14-$N17)*(AI10-AE10),(AE15-$N18)*(AI11-AE11))+2260*AA31)/(AA30*$E20)</f>
        <v>#DIV/0!</v>
      </c>
      <c r="AB35" s="56" t="s">
        <v>152</v>
      </c>
      <c r="AC35" s="56"/>
      <c r="AD35" s="94"/>
      <c r="AE35" s="95" t="s">
        <v>153</v>
      </c>
      <c r="AF35" s="61"/>
      <c r="AG35" s="61"/>
      <c r="AH35" s="61"/>
      <c r="AI35" s="61"/>
      <c r="AJ35" s="61"/>
      <c r="AK35" s="61"/>
      <c r="AL35" s="61"/>
      <c r="AM35" s="92" t="s">
        <v>154</v>
      </c>
      <c r="AN35" s="61"/>
      <c r="AO35" s="61"/>
      <c r="AP35" s="421" t="e">
        <f>AP30/AP33</f>
        <v>#DIV/0!</v>
      </c>
      <c r="AQ35" s="56" t="s">
        <v>155</v>
      </c>
      <c r="AR35" s="14"/>
    </row>
    <row r="36" spans="1:122" ht="15.75" customHeight="1" thickBot="1" x14ac:dyDescent="0.25">
      <c r="A36" s="25"/>
      <c r="B36" s="110" t="s">
        <v>184</v>
      </c>
      <c r="C36" s="110"/>
      <c r="D36" s="110"/>
      <c r="E36" s="110"/>
      <c r="F36" s="110"/>
      <c r="G36" s="110"/>
      <c r="H36" s="110"/>
      <c r="I36" s="110"/>
      <c r="J36" s="110"/>
      <c r="K36" s="110"/>
      <c r="L36" s="110"/>
      <c r="M36" s="110"/>
      <c r="N36" s="110"/>
      <c r="O36" s="111"/>
      <c r="P36" s="111"/>
      <c r="Q36" s="111"/>
      <c r="R36" s="111"/>
      <c r="S36" s="15"/>
      <c r="T36" s="10"/>
      <c r="U36" s="379" t="s">
        <v>153</v>
      </c>
      <c r="V36" s="92" t="s">
        <v>154</v>
      </c>
      <c r="W36" s="421" t="e">
        <f>W30/W33</f>
        <v>#DIV/0!</v>
      </c>
      <c r="X36" s="92" t="s">
        <v>156</v>
      </c>
      <c r="Y36" s="57"/>
      <c r="Z36" s="61"/>
      <c r="AA36" s="421" t="e">
        <f>AA30/AA33</f>
        <v>#DIV/0!</v>
      </c>
      <c r="AB36" s="56" t="s">
        <v>157</v>
      </c>
      <c r="AC36" s="56"/>
      <c r="AD36" s="94"/>
      <c r="AE36" s="95" t="s">
        <v>158</v>
      </c>
      <c r="AF36" s="61"/>
      <c r="AG36" s="61"/>
      <c r="AH36" s="61"/>
      <c r="AI36" s="61"/>
      <c r="AJ36" s="61"/>
      <c r="AK36" s="61"/>
      <c r="AL36" s="61"/>
      <c r="AM36" s="92" t="s">
        <v>844</v>
      </c>
      <c r="AN36" s="61"/>
      <c r="AO36" s="61"/>
      <c r="AP36" s="421" t="e">
        <f>AP30/AP32*1000</f>
        <v>#DIV/0!</v>
      </c>
      <c r="AQ36" s="56" t="s">
        <v>160</v>
      </c>
      <c r="AR36" s="14"/>
    </row>
    <row r="37" spans="1:122" ht="13.5" customHeight="1" thickTop="1" thickBot="1" x14ac:dyDescent="0.25">
      <c r="A37" s="109"/>
      <c r="B37" s="249"/>
      <c r="C37" s="249"/>
      <c r="D37" s="249"/>
      <c r="E37" s="249"/>
      <c r="F37" s="249"/>
      <c r="G37" s="249"/>
      <c r="H37" s="249"/>
      <c r="I37" s="249"/>
      <c r="J37" s="249"/>
      <c r="K37" s="249"/>
      <c r="L37" s="249"/>
      <c r="M37" s="249"/>
      <c r="N37" s="249"/>
      <c r="O37" s="249"/>
      <c r="P37" s="249"/>
      <c r="Q37" s="249"/>
      <c r="R37" s="249"/>
      <c r="S37" s="112"/>
      <c r="T37" s="10"/>
      <c r="U37" s="379" t="s">
        <v>158</v>
      </c>
      <c r="V37" s="92" t="s">
        <v>845</v>
      </c>
      <c r="W37" s="93" t="e">
        <f>1000*W30/((W32))</f>
        <v>#DIV/0!</v>
      </c>
      <c r="X37" s="56" t="s">
        <v>161</v>
      </c>
      <c r="Y37" s="57"/>
      <c r="Z37" s="61"/>
      <c r="AA37" s="435" t="e">
        <f>1000*AA30/AA32</f>
        <v>#DIV/0!</v>
      </c>
      <c r="AB37" s="56" t="s">
        <v>162</v>
      </c>
      <c r="AC37" s="56"/>
      <c r="AD37" s="94"/>
      <c r="AE37" s="95" t="s">
        <v>163</v>
      </c>
      <c r="AF37" s="61"/>
      <c r="AG37" s="61"/>
      <c r="AH37" s="61"/>
      <c r="AI37" s="61"/>
      <c r="AJ37" s="61"/>
      <c r="AK37" s="61"/>
      <c r="AL37" s="61"/>
      <c r="AM37" s="92" t="s">
        <v>164</v>
      </c>
      <c r="AN37" s="61"/>
      <c r="AO37" s="61"/>
      <c r="AP37" s="327" t="e">
        <f>AP30*$E$20/(AP33*60)</f>
        <v>#DIV/0!</v>
      </c>
      <c r="AQ37" s="56" t="s">
        <v>165</v>
      </c>
      <c r="AR37" s="14"/>
    </row>
    <row r="38" spans="1:122" ht="15.6" customHeight="1" thickTop="1" x14ac:dyDescent="0.2">
      <c r="B38" s="118" t="str">
        <f>"TEST #2 "&amp;D7</f>
        <v xml:space="preserve">TEST #2 </v>
      </c>
      <c r="S38" s="2"/>
      <c r="T38" s="21"/>
      <c r="U38" s="379" t="s">
        <v>166</v>
      </c>
      <c r="V38" s="92" t="s">
        <v>159</v>
      </c>
      <c r="W38" s="435" t="e">
        <f>W37*75/($N$20-W8)</f>
        <v>#DIV/0!</v>
      </c>
      <c r="X38" s="56" t="s">
        <v>167</v>
      </c>
      <c r="Y38" s="57"/>
      <c r="Z38" s="61"/>
      <c r="AA38" s="435" t="e">
        <f>AA37*75/($N$20-AE8)</f>
        <v>#DIV/0!</v>
      </c>
      <c r="AB38" s="56" t="s">
        <v>168</v>
      </c>
      <c r="AC38" s="56"/>
      <c r="AD38" s="94"/>
      <c r="AE38" s="95" t="s">
        <v>169</v>
      </c>
      <c r="AF38" s="61"/>
      <c r="AG38" s="61"/>
      <c r="AH38" s="61"/>
      <c r="AI38" s="61"/>
      <c r="AJ38" s="61"/>
      <c r="AK38" s="61"/>
      <c r="AL38" s="61"/>
      <c r="AM38" s="92" t="s">
        <v>92</v>
      </c>
      <c r="AN38" s="61"/>
      <c r="AO38" s="61"/>
      <c r="AP38" s="417" t="e">
        <f>W40/AP37</f>
        <v>#DIV/0!</v>
      </c>
      <c r="AQ38" s="92" t="s">
        <v>170</v>
      </c>
      <c r="AR38" s="14"/>
    </row>
    <row r="39" spans="1:122" ht="14.25" thickBot="1" x14ac:dyDescent="0.25">
      <c r="B39" s="619" t="s">
        <v>747</v>
      </c>
      <c r="C39" s="620"/>
      <c r="D39" s="620"/>
      <c r="E39" s="620"/>
      <c r="F39" s="620"/>
      <c r="G39" s="620"/>
      <c r="H39" s="620"/>
      <c r="I39" s="620"/>
      <c r="J39" s="620"/>
      <c r="K39" s="620"/>
      <c r="L39" s="620"/>
      <c r="M39" s="620"/>
      <c r="N39" s="620"/>
      <c r="O39" s="620"/>
      <c r="P39" s="620"/>
      <c r="Q39" s="620"/>
      <c r="R39" s="621"/>
      <c r="T39" s="21"/>
      <c r="U39" s="379" t="s">
        <v>171</v>
      </c>
      <c r="V39" s="92" t="s">
        <v>172</v>
      </c>
      <c r="W39" s="93" t="e">
        <f>(W38/1000)*E20</f>
        <v>#DIV/0!</v>
      </c>
      <c r="X39" s="56" t="s">
        <v>173</v>
      </c>
      <c r="Y39" s="57"/>
      <c r="Z39" s="61"/>
      <c r="AA39" s="93" t="e">
        <f>(AA38/1000)*E20</f>
        <v>#DIV/0!</v>
      </c>
      <c r="AB39" s="56" t="s">
        <v>174</v>
      </c>
      <c r="AC39" s="56"/>
      <c r="AD39" s="94"/>
      <c r="AE39" s="102" t="s">
        <v>175</v>
      </c>
      <c r="AF39" s="103"/>
      <c r="AG39" s="103"/>
      <c r="AH39" s="103"/>
      <c r="AI39" s="103"/>
      <c r="AJ39" s="103"/>
      <c r="AK39" s="103"/>
      <c r="AL39" s="103"/>
      <c r="AM39" s="104" t="s">
        <v>172</v>
      </c>
      <c r="AN39" s="103"/>
      <c r="AO39" s="103"/>
      <c r="AP39" s="105" t="e">
        <f>(AP36/1000)*E20</f>
        <v>#DIV/0!</v>
      </c>
      <c r="AQ39" s="106" t="s">
        <v>176</v>
      </c>
      <c r="AR39" s="107"/>
    </row>
    <row r="40" spans="1:122" ht="15.6" customHeight="1" thickBot="1" x14ac:dyDescent="0.25">
      <c r="B40" s="616"/>
      <c r="C40" s="617"/>
      <c r="D40" s="617"/>
      <c r="E40" s="617"/>
      <c r="F40" s="617"/>
      <c r="G40" s="617"/>
      <c r="H40" s="617"/>
      <c r="I40" s="617"/>
      <c r="J40" s="617"/>
      <c r="K40" s="617"/>
      <c r="L40" s="617"/>
      <c r="M40" s="617"/>
      <c r="N40" s="617"/>
      <c r="O40" s="617"/>
      <c r="P40" s="617"/>
      <c r="Q40" s="617"/>
      <c r="R40" s="618"/>
      <c r="T40" s="21"/>
      <c r="U40" s="380" t="s">
        <v>163</v>
      </c>
      <c r="V40" s="115" t="s">
        <v>164</v>
      </c>
      <c r="W40" s="422" t="e">
        <f>W30*$E$20/(W33*60)</f>
        <v>#DIV/0!</v>
      </c>
      <c r="X40" s="376" t="s">
        <v>177</v>
      </c>
      <c r="Y40" s="252"/>
      <c r="Z40" s="114"/>
      <c r="AA40" s="422" t="e">
        <f>AA30*$E$20/(AA33*60)</f>
        <v>#DIV/0!</v>
      </c>
      <c r="AB40" s="376" t="s">
        <v>178</v>
      </c>
      <c r="AC40" s="376"/>
      <c r="AD40" s="253"/>
      <c r="AE40" s="3" t="s">
        <v>179</v>
      </c>
      <c r="AM40" s="3" t="s">
        <v>20</v>
      </c>
      <c r="AP40" s="412" t="e">
        <f>IF(ISERROR(AA38),5*(W38+AP36),5*(AVERAGE(W38,AA38)+AP36))</f>
        <v>#DIV/0!</v>
      </c>
      <c r="AQ40" s="108" t="s">
        <v>180</v>
      </c>
      <c r="AR40" s="14"/>
      <c r="DG40" s="1"/>
      <c r="DH40" s="1"/>
      <c r="DI40" s="1"/>
      <c r="DJ40" s="1"/>
      <c r="DK40" s="1"/>
      <c r="DL40" s="1"/>
      <c r="DM40" s="1"/>
      <c r="DN40" s="1"/>
      <c r="DO40" s="1"/>
      <c r="DP40" s="1"/>
      <c r="DQ40" s="1"/>
      <c r="DR40" s="1"/>
    </row>
    <row r="41" spans="1:122" ht="15.6" customHeight="1" thickTop="1" thickBot="1" x14ac:dyDescent="0.2">
      <c r="B41" s="616"/>
      <c r="C41" s="617"/>
      <c r="D41" s="617"/>
      <c r="E41" s="617"/>
      <c r="F41" s="617"/>
      <c r="G41" s="617"/>
      <c r="H41" s="617"/>
      <c r="I41" s="617"/>
      <c r="J41" s="617"/>
      <c r="K41" s="617"/>
      <c r="L41" s="617"/>
      <c r="M41" s="617"/>
      <c r="N41" s="617"/>
      <c r="O41" s="617"/>
      <c r="P41" s="617"/>
      <c r="Q41" s="617"/>
      <c r="R41" s="618"/>
      <c r="W41" s="8"/>
      <c r="X41" s="8"/>
      <c r="Y41" s="8"/>
      <c r="Z41" s="8"/>
      <c r="AA41" s="8"/>
      <c r="AB41" s="8"/>
      <c r="AC41" s="8"/>
      <c r="AD41" s="384"/>
      <c r="AE41" s="114" t="s">
        <v>181</v>
      </c>
      <c r="AF41" s="114"/>
      <c r="AG41" s="114"/>
      <c r="AH41" s="114"/>
      <c r="AI41" s="114"/>
      <c r="AJ41" s="114"/>
      <c r="AK41" s="114"/>
      <c r="AL41" s="114"/>
      <c r="AM41" s="114" t="s">
        <v>182</v>
      </c>
      <c r="AN41" s="114"/>
      <c r="AO41" s="114"/>
      <c r="AP41" s="413" t="e">
        <f>(AP40/1000)*E20</f>
        <v>#DIV/0!</v>
      </c>
      <c r="AQ41" s="115" t="s">
        <v>183</v>
      </c>
      <c r="AR41" s="116"/>
      <c r="DG41" s="1"/>
      <c r="DH41" s="1"/>
      <c r="DI41" s="1"/>
      <c r="DJ41" s="1"/>
      <c r="DK41" s="1"/>
      <c r="DL41" s="1"/>
      <c r="DM41" s="1"/>
      <c r="DN41" s="1"/>
      <c r="DO41" s="1"/>
      <c r="DP41" s="1"/>
      <c r="DQ41" s="1"/>
      <c r="DR41" s="1"/>
    </row>
    <row r="42" spans="1:122" ht="15.6" customHeight="1" thickTop="1" thickBot="1" x14ac:dyDescent="0.2">
      <c r="B42" s="616"/>
      <c r="C42" s="617"/>
      <c r="D42" s="617"/>
      <c r="E42" s="617"/>
      <c r="F42" s="617"/>
      <c r="G42" s="617"/>
      <c r="H42" s="617"/>
      <c r="I42" s="617"/>
      <c r="J42" s="617"/>
      <c r="K42" s="617"/>
      <c r="L42" s="617"/>
      <c r="M42" s="617"/>
      <c r="N42" s="617"/>
      <c r="O42" s="617"/>
      <c r="P42" s="617"/>
      <c r="Q42" s="617"/>
      <c r="R42" s="618"/>
      <c r="U42" s="387" t="s">
        <v>966</v>
      </c>
      <c r="W42" s="108">
        <v>1</v>
      </c>
      <c r="DG42" s="1"/>
      <c r="DH42" s="1"/>
      <c r="DI42" s="1"/>
      <c r="DJ42" s="1"/>
      <c r="DK42" s="1"/>
      <c r="DL42" s="1"/>
      <c r="DM42" s="1"/>
      <c r="DN42" s="1"/>
      <c r="DO42" s="1"/>
      <c r="DP42" s="1"/>
      <c r="DQ42" s="1"/>
      <c r="DR42" s="1"/>
    </row>
    <row r="43" spans="1:122" ht="15.6" customHeight="1" thickTop="1" x14ac:dyDescent="0.15">
      <c r="B43" s="616"/>
      <c r="C43" s="617"/>
      <c r="D43" s="617"/>
      <c r="E43" s="617"/>
      <c r="F43" s="617"/>
      <c r="G43" s="617"/>
      <c r="H43" s="617"/>
      <c r="I43" s="617"/>
      <c r="J43" s="617"/>
      <c r="K43" s="617"/>
      <c r="L43" s="617"/>
      <c r="M43" s="617"/>
      <c r="N43" s="617"/>
      <c r="O43" s="617"/>
      <c r="P43" s="617"/>
      <c r="Q43" s="617"/>
      <c r="R43" s="618"/>
      <c r="U43" s="283" t="s">
        <v>952</v>
      </c>
      <c r="V43" s="284"/>
      <c r="W43" s="285"/>
      <c r="X43" s="410"/>
      <c r="Y43" s="287"/>
      <c r="Z43" s="287"/>
      <c r="AA43" s="287"/>
      <c r="AB43" s="287"/>
      <c r="AC43" s="287"/>
      <c r="AD43" s="287"/>
      <c r="AE43" s="285" t="s">
        <v>88</v>
      </c>
      <c r="AF43" s="288" t="s">
        <v>866</v>
      </c>
      <c r="DG43" s="1"/>
      <c r="DH43" s="1"/>
      <c r="DI43" s="1"/>
      <c r="DJ43" s="1"/>
      <c r="DK43" s="1"/>
      <c r="DL43" s="1"/>
      <c r="DM43" s="1"/>
      <c r="DN43" s="1"/>
      <c r="DO43" s="1"/>
      <c r="DP43" s="1"/>
      <c r="DQ43" s="1"/>
      <c r="DR43" s="1"/>
    </row>
    <row r="44" spans="1:122" ht="15.6" customHeight="1" x14ac:dyDescent="0.15">
      <c r="B44" s="616"/>
      <c r="C44" s="617"/>
      <c r="D44" s="617"/>
      <c r="E44" s="617"/>
      <c r="F44" s="617"/>
      <c r="G44" s="617"/>
      <c r="H44" s="617"/>
      <c r="I44" s="617"/>
      <c r="J44" s="617"/>
      <c r="K44" s="617"/>
      <c r="L44" s="617"/>
      <c r="M44" s="617"/>
      <c r="N44" s="617"/>
      <c r="O44" s="617"/>
      <c r="P44" s="617"/>
      <c r="Q44" s="617"/>
      <c r="R44" s="618"/>
      <c r="U44" s="289" t="s">
        <v>851</v>
      </c>
      <c r="V44" s="290"/>
      <c r="AB44" s="22" t="s">
        <v>113</v>
      </c>
      <c r="AE44" s="396" t="e">
        <f>IF(AA33=0,W35,(W35+AA35)/2)</f>
        <v>#DIV/0!</v>
      </c>
      <c r="AF44" s="423" t="e">
        <f>IF(AE44=0,"-",IF(AE44&lt;Lists!E15,"0",IF(AE44&lt;Lists!I15,1,IF(AE44&lt;Lists!K15,2,IF(AE44&lt;Lists!M15,3,4)))))</f>
        <v>#DIV/0!</v>
      </c>
      <c r="DG44" s="1"/>
      <c r="DH44" s="1"/>
      <c r="DI44" s="1"/>
      <c r="DJ44" s="1"/>
      <c r="DK44" s="1"/>
      <c r="DL44" s="1"/>
      <c r="DM44" s="1"/>
      <c r="DN44" s="1"/>
      <c r="DO44" s="1"/>
      <c r="DP44" s="1"/>
      <c r="DQ44" s="1"/>
      <c r="DR44" s="1"/>
    </row>
    <row r="45" spans="1:122" ht="15.6" customHeight="1" x14ac:dyDescent="0.15">
      <c r="B45" s="616"/>
      <c r="C45" s="617"/>
      <c r="D45" s="617"/>
      <c r="E45" s="617"/>
      <c r="F45" s="617"/>
      <c r="G45" s="617"/>
      <c r="H45" s="617"/>
      <c r="I45" s="617"/>
      <c r="J45" s="617"/>
      <c r="K45" s="617"/>
      <c r="L45" s="617"/>
      <c r="M45" s="617"/>
      <c r="N45" s="617"/>
      <c r="O45" s="617"/>
      <c r="P45" s="617"/>
      <c r="Q45" s="617"/>
      <c r="R45" s="618"/>
      <c r="U45" s="289" t="s">
        <v>958</v>
      </c>
      <c r="V45" s="290"/>
      <c r="AB45" s="22" t="s">
        <v>959</v>
      </c>
      <c r="AE45" s="403" t="e">
        <f>AP30*'General Information'!L22/(AP32*AP33*1000)</f>
        <v>#DIV/0!</v>
      </c>
      <c r="AF45" s="424" t="e">
        <f>IF(AE45&gt;Lists!E16,"0",IF(AE45&gt;Lists!I16,1,IF(AE45&gt;Lists!K16,2,IF(AE45&gt;Lists!M16,3,4))))</f>
        <v>#DIV/0!</v>
      </c>
    </row>
    <row r="46" spans="1:122" ht="15.6" customHeight="1" x14ac:dyDescent="0.15">
      <c r="B46" s="616"/>
      <c r="C46" s="617"/>
      <c r="D46" s="617"/>
      <c r="E46" s="617"/>
      <c r="F46" s="617"/>
      <c r="G46" s="617"/>
      <c r="H46" s="617"/>
      <c r="I46" s="617"/>
      <c r="J46" s="617"/>
      <c r="K46" s="617"/>
      <c r="L46" s="617"/>
      <c r="M46" s="617"/>
      <c r="N46" s="617"/>
      <c r="O46" s="617"/>
      <c r="P46" s="617"/>
      <c r="Q46" s="617"/>
      <c r="R46" s="618"/>
      <c r="U46" s="289" t="s">
        <v>854</v>
      </c>
      <c r="V46" s="290"/>
      <c r="AB46" s="22" t="s">
        <v>960</v>
      </c>
      <c r="AE46" s="402" t="e">
        <f>IF(W42=3,IF(AA33=0,1000000/'General Information'!L22*AA23/(W35*W30),1000000/'General Information'!L22*(AA23/(W35*W30)+AI23/(AA35*AA30))/2),IF(W42=1,IF(AA33=0,1000000/'General Information'!L22*W70/(W35*W30),1000000/'General Information'!L22*(W70/(W35*W30)+AA70/(AA35*AA30))/2),IF(AA33=0,1000000/'General Information'!L22*W74/(W35*W30),1000000/'General Information'!L22*(W74/(W35*W30)+AA74/(AA35*AA30))/2)))</f>
        <v>#DIV/0!</v>
      </c>
      <c r="AF46" s="424" t="e">
        <f xml:space="preserve"> IF(AE46&gt;Lists!E17,"0",IF(AE46&gt;Lists!I17,1,IF(AE46&gt;Lists!K17,2,IF(AE46&gt;Lists!M17,3,4))))</f>
        <v>#DIV/0!</v>
      </c>
    </row>
    <row r="47" spans="1:122" ht="15.6" customHeight="1" x14ac:dyDescent="0.15">
      <c r="B47" s="616"/>
      <c r="C47" s="617"/>
      <c r="D47" s="617"/>
      <c r="E47" s="617"/>
      <c r="F47" s="617"/>
      <c r="G47" s="617"/>
      <c r="H47" s="617"/>
      <c r="I47" s="617"/>
      <c r="J47" s="617"/>
      <c r="K47" s="617"/>
      <c r="L47" s="617"/>
      <c r="M47" s="617"/>
      <c r="N47" s="617"/>
      <c r="O47" s="617"/>
      <c r="P47" s="617"/>
      <c r="Q47" s="617"/>
      <c r="R47" s="618"/>
      <c r="U47" s="289" t="s">
        <v>856</v>
      </c>
      <c r="V47" s="290"/>
      <c r="AB47" s="22" t="s">
        <v>961</v>
      </c>
      <c r="AE47" s="403" t="e">
        <f>IF(W42=3,AP23/(AP33*AP32)*1000,IF(W42=1,AE70/(AP33*AP32)*1000,AE74/(AP33*AP32)*1000))</f>
        <v>#DIV/0!</v>
      </c>
      <c r="AF47" s="424" t="e">
        <f>IF(AE47&gt;Lists!E18,"0",IF(AE47&gt;Lists!I18,1,IF(AE47&gt;Lists!K18,2,IF(AE47&gt;Lists!M18,3,4))))</f>
        <v>#DIV/0!</v>
      </c>
      <c r="AM47" s="393"/>
    </row>
    <row r="48" spans="1:122" ht="15.6" customHeight="1" x14ac:dyDescent="0.15">
      <c r="B48" s="613"/>
      <c r="C48" s="614"/>
      <c r="D48" s="614"/>
      <c r="E48" s="614"/>
      <c r="F48" s="614"/>
      <c r="G48" s="614"/>
      <c r="H48" s="614"/>
      <c r="I48" s="614"/>
      <c r="J48" s="614"/>
      <c r="K48" s="614"/>
      <c r="L48" s="614"/>
      <c r="M48" s="614"/>
      <c r="N48" s="614"/>
      <c r="O48" s="614"/>
      <c r="P48" s="614"/>
      <c r="Q48" s="614"/>
      <c r="R48" s="615"/>
      <c r="U48" s="289" t="s">
        <v>858</v>
      </c>
      <c r="V48" s="290"/>
      <c r="AB48" s="22" t="s">
        <v>962</v>
      </c>
      <c r="AE48" s="404" t="e">
        <f>IF(W42=3,IF(AA33=0,10^9/'General Information'!L22*AA24/(W35*W30),10^9/'General Information'!L22*(AA24/(W35*W30)+AI24/(AA35*AA30))/2),IF(W42=1,IF(AA33=0,10^9/'General Information'!L22*W71/(W35*W30),10^9/'General Information'!L22*(W71/(W35*W30)+AA71/(AA35*AA30))/2),IF(AA33=0,10^9/'General Information'!L22*W75/(W35*W30),10^9/'General Information'!L22*(W75/(W35*W30)+AA75/(AA35*AA30))/2)))</f>
        <v>#DIV/0!</v>
      </c>
      <c r="AF48" s="424" t="e">
        <f>IF(AE48&gt;Lists!E19,"0",IF(AE48&gt;Lists!I19,1,IF(AE48&gt;Lists!K19,2,IF(AE48&gt;Lists!M19,3,4))))</f>
        <v>#DIV/0!</v>
      </c>
    </row>
    <row r="49" spans="2:35" ht="15.6" customHeight="1" x14ac:dyDescent="0.15">
      <c r="C49" s="1"/>
      <c r="H49" s="1"/>
      <c r="I49" s="1"/>
      <c r="J49" s="1"/>
      <c r="K49" s="1"/>
      <c r="L49" s="1"/>
      <c r="M49" s="1"/>
      <c r="N49" s="1"/>
      <c r="O49" s="1"/>
      <c r="P49" s="1"/>
      <c r="Q49" s="1"/>
      <c r="R49" s="1"/>
      <c r="U49" s="289" t="s">
        <v>860</v>
      </c>
      <c r="V49" s="290"/>
      <c r="AB49" s="22" t="s">
        <v>963</v>
      </c>
      <c r="AE49" s="397" t="e">
        <f>IF(W42=3,AP24/(AP33*AP32)*1000000,IF(W42=1,AE71/(AP33*AP32)*1000000,AE75/(AP33*AP32)*1000000))</f>
        <v>#DIV/0!</v>
      </c>
      <c r="AF49" s="424" t="e">
        <f>IF(AE49&gt;Lists!E20,"0",IF(AE49&gt;Lists!I20,1,IF(AE49&gt;Lists!K20,2,IF(AE49&gt;Lists!M20,3,4))))</f>
        <v>#DIV/0!</v>
      </c>
    </row>
    <row r="50" spans="2:35" ht="15.6" customHeight="1" x14ac:dyDescent="0.15">
      <c r="B50" s="619" t="s">
        <v>802</v>
      </c>
      <c r="C50" s="620"/>
      <c r="D50" s="620"/>
      <c r="E50" s="620"/>
      <c r="F50" s="620"/>
      <c r="G50" s="620"/>
      <c r="H50" s="620"/>
      <c r="I50" s="620"/>
      <c r="J50" s="620"/>
      <c r="K50" s="620"/>
      <c r="L50" s="620"/>
      <c r="M50" s="620"/>
      <c r="N50" s="620"/>
      <c r="O50" s="620"/>
      <c r="P50" s="620"/>
      <c r="Q50" s="620"/>
      <c r="R50" s="621"/>
      <c r="U50" s="289" t="s">
        <v>879</v>
      </c>
      <c r="V50" s="290"/>
      <c r="AB50" s="22" t="s">
        <v>154</v>
      </c>
      <c r="AE50" s="397" t="e">
        <f>IF(W42=3,IF(IF(AA33=0,AA23/W33,(AA23/W33+AI23/AA33)/2)&lt;(AP23/AP33),AP23/AP33,IF(AA33=0,AA23/W33,(AA23/W33+AI23/AA33)/2)),IF(W42=1,IF(IF(AA33=0,W70/W33,(W70/W33+AA70/AA33)/2)&lt;(AE70/AP33),AE70/AP33,IF(AA33=0,W70/W33,(W70/W33+AA70/AA33)/2)),IF(IF(AA33=0,W74/W33,(W74/W33+AA74/AA33)/2)&lt;(AE74/AP33),AE74/AP33,IF(AA33=0,W74/W33,(W74/W33+AA74/AA33)/2))))</f>
        <v>#DIV/0!</v>
      </c>
      <c r="AF50" s="424" t="e">
        <f>IF(AE50&gt;Lists!E21,"0",IF(AE50&gt;Lists!I21,1,IF(AE50&gt;Lists!K21,2,IF(AE50&gt;Lists!M21,3,4))))</f>
        <v>#DIV/0!</v>
      </c>
    </row>
    <row r="51" spans="2:35" ht="15.6" customHeight="1" thickBot="1" x14ac:dyDescent="0.2">
      <c r="B51" s="616"/>
      <c r="C51" s="617"/>
      <c r="D51" s="617"/>
      <c r="E51" s="617"/>
      <c r="F51" s="617"/>
      <c r="G51" s="617"/>
      <c r="H51" s="617"/>
      <c r="I51" s="617"/>
      <c r="J51" s="617"/>
      <c r="K51" s="617"/>
      <c r="L51" s="617"/>
      <c r="M51" s="617"/>
      <c r="N51" s="617"/>
      <c r="O51" s="617"/>
      <c r="P51" s="617"/>
      <c r="Q51" s="617"/>
      <c r="R51" s="618"/>
      <c r="U51" s="291" t="s">
        <v>878</v>
      </c>
      <c r="V51" s="292"/>
      <c r="W51" s="269"/>
      <c r="X51" s="269"/>
      <c r="Y51" s="269"/>
      <c r="Z51" s="269"/>
      <c r="AA51" s="269"/>
      <c r="AB51" s="270" t="s">
        <v>864</v>
      </c>
      <c r="AC51" s="269"/>
      <c r="AD51" s="269"/>
      <c r="AE51" s="405" t="e">
        <f>IF(W42=3,IF(IF(AA33=0,AA24/W33,(AA24/W33+AI24/AA33)/2)&lt;(AP24/AP33),AP24/AP33*1000,IF(AA33=0,AA24/W33,(AA24/W33+AI24/AA33)/2)*1000),IF(W42=1,IF(IF(AA33=0,W71/W33,(W71/W33+AA71/AA33)/2)&lt;(AE71/AP33),AE71/AP33*1000,IF(AA33=0,W71/W33,(W71/W33+AA71/AA33)/2)*1000),IF(IF(AA33=0,W75/W33,(W75/W33+AA75/AA33)/2)&lt;(AE75/AP33),AE75/AP33*1000,IF(AA33=0,W75/W33,(W75/W33+AA75/AA33)/2)*1000)))</f>
        <v>#DIV/0!</v>
      </c>
      <c r="AF51" s="425" t="e">
        <f>IF(AE51&gt;Lists!E22,"0",IF(AE51&gt;Lists!I22,1,IF(AE51&gt;Lists!K22,2,IF(AE51&gt;Lists!M22,3,4))))</f>
        <v>#DIV/0!</v>
      </c>
      <c r="AI51" s="13"/>
    </row>
    <row r="52" spans="2:35" ht="15.6" customHeight="1" thickTop="1" thickBot="1" x14ac:dyDescent="0.2">
      <c r="B52" s="616"/>
      <c r="C52" s="617"/>
      <c r="D52" s="617"/>
      <c r="E52" s="617"/>
      <c r="F52" s="617"/>
      <c r="G52" s="617"/>
      <c r="H52" s="617"/>
      <c r="I52" s="617"/>
      <c r="J52" s="617"/>
      <c r="K52" s="617"/>
      <c r="L52" s="617"/>
      <c r="M52" s="617"/>
      <c r="N52" s="617"/>
      <c r="O52" s="617"/>
      <c r="P52" s="617"/>
      <c r="Q52" s="617"/>
      <c r="R52" s="618"/>
      <c r="T52" s="114"/>
      <c r="U52" s="118" t="str">
        <f>"TEST #2 "&amp;D6</f>
        <v xml:space="preserve">TEST #2 </v>
      </c>
      <c r="V52" s="86" t="s">
        <v>804</v>
      </c>
      <c r="AI52" s="13"/>
    </row>
    <row r="53" spans="2:35" ht="15.6" customHeight="1" thickTop="1" x14ac:dyDescent="0.15">
      <c r="B53" s="616"/>
      <c r="C53" s="617"/>
      <c r="D53" s="617"/>
      <c r="E53" s="617"/>
      <c r="F53" s="617"/>
      <c r="G53" s="617"/>
      <c r="H53" s="617"/>
      <c r="I53" s="617"/>
      <c r="J53" s="617"/>
      <c r="K53" s="617"/>
      <c r="L53" s="617"/>
      <c r="M53" s="617"/>
      <c r="N53" s="617"/>
      <c r="O53" s="617"/>
      <c r="P53" s="617"/>
      <c r="Q53" s="617"/>
      <c r="R53" s="618"/>
      <c r="T53" s="10"/>
      <c r="U53" s="8"/>
      <c r="V53" s="8"/>
      <c r="W53" s="260" t="s">
        <v>110</v>
      </c>
      <c r="X53" s="8"/>
      <c r="Y53" s="261"/>
      <c r="Z53" s="8"/>
      <c r="AA53" s="260" t="s">
        <v>111</v>
      </c>
      <c r="AB53" s="8"/>
      <c r="AC53" s="261"/>
      <c r="AD53" s="8"/>
      <c r="AE53" s="260" t="s">
        <v>2</v>
      </c>
      <c r="AF53" s="8"/>
      <c r="AG53" s="146"/>
      <c r="AH53" s="146"/>
      <c r="AI53" s="271"/>
    </row>
    <row r="54" spans="2:35" ht="15.6" customHeight="1" x14ac:dyDescent="0.15">
      <c r="B54" s="616"/>
      <c r="C54" s="617"/>
      <c r="D54" s="617"/>
      <c r="E54" s="617"/>
      <c r="F54" s="617"/>
      <c r="G54" s="617"/>
      <c r="H54" s="617"/>
      <c r="I54" s="617"/>
      <c r="J54" s="617"/>
      <c r="K54" s="617"/>
      <c r="L54" s="617"/>
      <c r="M54" s="617"/>
      <c r="N54" s="617"/>
      <c r="O54" s="617"/>
      <c r="P54" s="617"/>
      <c r="Q54" s="617"/>
      <c r="R54" s="618"/>
      <c r="T54" s="10"/>
      <c r="U54" s="88" t="s">
        <v>116</v>
      </c>
      <c r="V54" s="89" t="s">
        <v>9</v>
      </c>
      <c r="W54" s="89" t="s">
        <v>10</v>
      </c>
      <c r="X54" s="89" t="s">
        <v>11</v>
      </c>
      <c r="Y54" s="46"/>
      <c r="Z54" s="13"/>
      <c r="AA54" s="89" t="s">
        <v>10</v>
      </c>
      <c r="AB54" s="89" t="s">
        <v>11</v>
      </c>
      <c r="AC54" s="46"/>
      <c r="AD54" s="13"/>
      <c r="AE54" s="89" t="s">
        <v>10</v>
      </c>
      <c r="AF54" s="89" t="s">
        <v>11</v>
      </c>
      <c r="AG54" s="71"/>
      <c r="AH54" s="71"/>
      <c r="AI54" s="271"/>
    </row>
    <row r="55" spans="2:35" ht="15.6" customHeight="1" x14ac:dyDescent="0.3">
      <c r="B55" s="616"/>
      <c r="C55" s="617"/>
      <c r="D55" s="617"/>
      <c r="E55" s="617"/>
      <c r="F55" s="617"/>
      <c r="G55" s="617"/>
      <c r="H55" s="617"/>
      <c r="I55" s="617"/>
      <c r="J55" s="617"/>
      <c r="K55" s="617"/>
      <c r="L55" s="617"/>
      <c r="M55" s="617"/>
      <c r="N55" s="617"/>
      <c r="O55" s="617"/>
      <c r="P55" s="617"/>
      <c r="Q55" s="617"/>
      <c r="R55" s="618"/>
      <c r="T55" s="10"/>
      <c r="U55" s="91" t="s">
        <v>805</v>
      </c>
      <c r="V55" s="92" t="s">
        <v>806</v>
      </c>
      <c r="W55" s="426">
        <f>'General Information'!$C$24*W33/60</f>
        <v>0</v>
      </c>
      <c r="X55" s="350" t="s">
        <v>884</v>
      </c>
      <c r="Y55" s="57"/>
      <c r="Z55" s="61"/>
      <c r="AA55" s="426">
        <f>'General Information'!$C$24*AA33/60</f>
        <v>0</v>
      </c>
      <c r="AB55" s="351" t="s">
        <v>885</v>
      </c>
      <c r="AC55" s="46"/>
      <c r="AD55" s="13"/>
      <c r="AE55" s="426">
        <f>'General Information'!$C$24*AP33/60</f>
        <v>0</v>
      </c>
      <c r="AF55" s="351" t="s">
        <v>886</v>
      </c>
      <c r="AG55" s="71"/>
      <c r="AH55" s="71"/>
      <c r="AI55" s="271"/>
    </row>
    <row r="56" spans="2:35" ht="15.6" customHeight="1" x14ac:dyDescent="0.3">
      <c r="B56" s="616"/>
      <c r="C56" s="617"/>
      <c r="D56" s="617"/>
      <c r="E56" s="617"/>
      <c r="F56" s="617"/>
      <c r="G56" s="617"/>
      <c r="H56" s="617"/>
      <c r="I56" s="617"/>
      <c r="J56" s="617"/>
      <c r="K56" s="617"/>
      <c r="L56" s="617"/>
      <c r="M56" s="617"/>
      <c r="N56" s="617"/>
      <c r="O56" s="617"/>
      <c r="P56" s="617"/>
      <c r="Q56" s="617"/>
      <c r="R56" s="618"/>
      <c r="T56" s="10"/>
      <c r="U56" s="91" t="s">
        <v>814</v>
      </c>
      <c r="V56" s="92" t="s">
        <v>781</v>
      </c>
      <c r="W56" s="429" t="e">
        <f>((AA18-$N21)+(AA19-$N22)+(AA20-$N23)/15/('General Information'!$C$22/0.008314/(AA21+273.15)))</f>
        <v>#DIV/0!</v>
      </c>
      <c r="X56" s="350" t="s">
        <v>887</v>
      </c>
      <c r="Y56" s="57"/>
      <c r="Z56" s="61"/>
      <c r="AA56" s="429" t="e">
        <f>((AI18-$N21)+(AI19-$N22)+(AI20-$N23)/15/('General Information'!$C$22/0.008314/(AI21+273.15)))</f>
        <v>#DIV/0!</v>
      </c>
      <c r="AB56" s="351" t="s">
        <v>888</v>
      </c>
      <c r="AC56" s="57"/>
      <c r="AD56" s="13"/>
      <c r="AE56" s="429" t="e">
        <f>((AP18-$N21)+(AP19-$N22)+(AP20-$N23)/15/('General Information'!$C$22/0.008314/(AP21+273.15)))</f>
        <v>#DIV/0!</v>
      </c>
      <c r="AF56" s="351" t="s">
        <v>889</v>
      </c>
      <c r="AG56" s="71"/>
      <c r="AH56" s="71"/>
      <c r="AI56" s="271"/>
    </row>
    <row r="57" spans="2:35" ht="15.6" customHeight="1" x14ac:dyDescent="0.3">
      <c r="B57" s="616"/>
      <c r="C57" s="617"/>
      <c r="D57" s="617"/>
      <c r="E57" s="617"/>
      <c r="F57" s="617"/>
      <c r="G57" s="617"/>
      <c r="H57" s="617"/>
      <c r="I57" s="617"/>
      <c r="J57" s="617"/>
      <c r="K57" s="617"/>
      <c r="L57" s="617"/>
      <c r="M57" s="617"/>
      <c r="N57" s="617"/>
      <c r="O57" s="617"/>
      <c r="P57" s="617"/>
      <c r="Q57" s="617"/>
      <c r="R57" s="618"/>
      <c r="T57" s="10"/>
      <c r="U57" s="91" t="s">
        <v>807</v>
      </c>
      <c r="V57" s="92" t="s">
        <v>808</v>
      </c>
      <c r="W57" s="392" t="e">
        <f>'General Information'!$C$22/0.008314/(AA21+273.15)*W56*0.000001*12</f>
        <v>#DIV/0!</v>
      </c>
      <c r="X57" s="350" t="s">
        <v>890</v>
      </c>
      <c r="Y57" s="57"/>
      <c r="Z57" s="61"/>
      <c r="AA57" s="392" t="e">
        <f>'General Information'!$C$22/0.008314/(AI21+273.15)*AA56*0.000001*12</f>
        <v>#DIV/0!</v>
      </c>
      <c r="AB57" s="351" t="s">
        <v>891</v>
      </c>
      <c r="AC57" s="57"/>
      <c r="AD57" s="13"/>
      <c r="AE57" s="392" t="e">
        <f>'General Information'!$C$22/0.008314/(AP21+273.15)*AE56*0.000001*12</f>
        <v>#DIV/0!</v>
      </c>
      <c r="AF57" s="351" t="s">
        <v>892</v>
      </c>
      <c r="AG57" s="71"/>
      <c r="AH57" s="71"/>
      <c r="AI57" s="271"/>
    </row>
    <row r="58" spans="2:35" ht="15.6" customHeight="1" x14ac:dyDescent="0.15">
      <c r="B58" s="616"/>
      <c r="C58" s="617"/>
      <c r="D58" s="617"/>
      <c r="E58" s="617"/>
      <c r="F58" s="617"/>
      <c r="G58" s="617"/>
      <c r="H58" s="617"/>
      <c r="I58" s="617"/>
      <c r="J58" s="617"/>
      <c r="K58" s="617"/>
      <c r="L58" s="617"/>
      <c r="M58" s="617"/>
      <c r="N58" s="617"/>
      <c r="O58" s="617"/>
      <c r="P58" s="617"/>
      <c r="Q58" s="617"/>
      <c r="R58" s="618"/>
      <c r="T58" s="10"/>
      <c r="U58" s="91" t="s">
        <v>877</v>
      </c>
      <c r="V58" s="92" t="s">
        <v>20</v>
      </c>
      <c r="W58" s="85" t="e">
        <f>W57*W55/fuelFracC</f>
        <v>#DIV/0!</v>
      </c>
      <c r="X58" s="351" t="s">
        <v>893</v>
      </c>
      <c r="Y58" s="57"/>
      <c r="Z58" s="61"/>
      <c r="AA58" s="392" t="e">
        <f>AA57*AA55/fuelFracC</f>
        <v>#DIV/0!</v>
      </c>
      <c r="AB58" s="351" t="s">
        <v>894</v>
      </c>
      <c r="AC58" s="57"/>
      <c r="AD58" s="13"/>
      <c r="AE58" s="392" t="e">
        <f>AE57*AE55/fuelFracC</f>
        <v>#DIV/0!</v>
      </c>
      <c r="AF58" s="351" t="s">
        <v>895</v>
      </c>
      <c r="AG58" s="13"/>
      <c r="AH58" s="13"/>
      <c r="AI58" s="271"/>
    </row>
    <row r="59" spans="2:35" ht="15.6" customHeight="1" x14ac:dyDescent="0.15">
      <c r="B59" s="613"/>
      <c r="C59" s="614"/>
      <c r="D59" s="614"/>
      <c r="E59" s="614"/>
      <c r="F59" s="614"/>
      <c r="G59" s="614"/>
      <c r="H59" s="614"/>
      <c r="I59" s="614"/>
      <c r="J59" s="614"/>
      <c r="K59" s="614"/>
      <c r="L59" s="614"/>
      <c r="M59" s="614"/>
      <c r="N59" s="614"/>
      <c r="O59" s="614"/>
      <c r="P59" s="614"/>
      <c r="Q59" s="614"/>
      <c r="R59" s="615"/>
      <c r="T59" s="10"/>
      <c r="U59" s="13" t="s">
        <v>824</v>
      </c>
      <c r="V59" s="22" t="s">
        <v>113</v>
      </c>
      <c r="W59" s="430" t="e">
        <f>W58/((1-$E$18)*(W28)-W29*charFracC/'General Information'!L23)</f>
        <v>#DIV/0!</v>
      </c>
      <c r="X59" s="351" t="s">
        <v>896</v>
      </c>
      <c r="Y59" s="334"/>
      <c r="Z59" s="335"/>
      <c r="AA59" s="430" t="e">
        <f>AA58/((1-$E$18)*(AA28)-AA29*charFracC/'General Information'!L23)</f>
        <v>#DIV/0!</v>
      </c>
      <c r="AB59" s="351" t="s">
        <v>897</v>
      </c>
      <c r="AC59" s="334"/>
      <c r="AD59" s="336"/>
      <c r="AE59" s="430" t="e">
        <f>AE58/((1-$E$18)*(AP28)-AP29*charFracC/'General Information'!L23)</f>
        <v>#DIV/0!</v>
      </c>
      <c r="AF59" s="351" t="s">
        <v>898</v>
      </c>
      <c r="AG59" s="13"/>
      <c r="AH59" s="13"/>
      <c r="AI59" s="271"/>
    </row>
    <row r="60" spans="2:35" ht="15.6" customHeight="1" x14ac:dyDescent="0.15">
      <c r="T60" s="10"/>
      <c r="U60" s="262" t="s">
        <v>813</v>
      </c>
      <c r="V60" s="13"/>
      <c r="W60" s="312"/>
      <c r="X60" s="56"/>
      <c r="Y60" s="57"/>
      <c r="Z60" s="61"/>
      <c r="AA60" s="2"/>
      <c r="AB60" s="22"/>
      <c r="AC60" s="57"/>
      <c r="AD60" s="13"/>
      <c r="AE60" s="312"/>
      <c r="AF60" s="22"/>
      <c r="AG60" s="22"/>
      <c r="AH60" s="13"/>
      <c r="AI60" s="271"/>
    </row>
    <row r="61" spans="2:35" ht="15.6" customHeight="1" x14ac:dyDescent="0.15">
      <c r="B61" s="619" t="s">
        <v>803</v>
      </c>
      <c r="C61" s="620"/>
      <c r="D61" s="620"/>
      <c r="E61" s="620"/>
      <c r="F61" s="620"/>
      <c r="G61" s="620"/>
      <c r="H61" s="620"/>
      <c r="I61" s="620"/>
      <c r="J61" s="620"/>
      <c r="K61" s="620"/>
      <c r="L61" s="620"/>
      <c r="M61" s="620"/>
      <c r="N61" s="620"/>
      <c r="O61" s="620"/>
      <c r="P61" s="620"/>
      <c r="Q61" s="620"/>
      <c r="R61" s="621"/>
      <c r="T61" s="10"/>
      <c r="U61" s="13" t="s">
        <v>812</v>
      </c>
      <c r="V61" s="22" t="s">
        <v>159</v>
      </c>
      <c r="W61" s="432" t="e">
        <f>IF($W$42=3,AA22/W$32*1000,IF($W$42=1,W69/W$32*1000,W73/W$32*1000))</f>
        <v>#DIV/0!</v>
      </c>
      <c r="X61" s="356" t="s">
        <v>919</v>
      </c>
      <c r="Y61" s="329"/>
      <c r="Z61" s="330"/>
      <c r="AA61" s="432" t="e">
        <f>IF($W$42=3,AI22/AA$32*1000,IF($W$42=1,AA69/AA$32*1000,AA73/AA$32*1000))</f>
        <v>#DIV/0!</v>
      </c>
      <c r="AB61" s="356" t="s">
        <v>920</v>
      </c>
      <c r="AC61" s="329"/>
      <c r="AD61" s="357"/>
      <c r="AE61" s="432" t="e">
        <f>IF($W$42=3,AP22/AP$32*1000,IF($W$42=1,AE69/AP$32*1000,AE73/AP$32*1000))</f>
        <v>#DIV/0!</v>
      </c>
      <c r="AF61" s="351" t="s">
        <v>921</v>
      </c>
      <c r="AG61" s="22"/>
      <c r="AH61" s="13"/>
      <c r="AI61" s="271"/>
    </row>
    <row r="62" spans="2:35" ht="15.6" customHeight="1" x14ac:dyDescent="0.15">
      <c r="B62" s="616"/>
      <c r="C62" s="617"/>
      <c r="D62" s="617"/>
      <c r="E62" s="617"/>
      <c r="F62" s="617"/>
      <c r="G62" s="617"/>
      <c r="H62" s="617"/>
      <c r="I62" s="617"/>
      <c r="J62" s="617"/>
      <c r="K62" s="617"/>
      <c r="L62" s="617"/>
      <c r="M62" s="617"/>
      <c r="N62" s="617"/>
      <c r="O62" s="617"/>
      <c r="P62" s="617"/>
      <c r="Q62" s="617"/>
      <c r="R62" s="618"/>
      <c r="T62" s="10"/>
      <c r="U62" s="13" t="s">
        <v>810</v>
      </c>
      <c r="V62" s="22" t="s">
        <v>159</v>
      </c>
      <c r="W62" s="406" t="e">
        <f>IF($W$42=3,AA23/W$32*1000,IF($W$42=1,W70/W$32*1000,W74/W$32*1000))</f>
        <v>#DIV/0!</v>
      </c>
      <c r="X62" s="358" t="s">
        <v>922</v>
      </c>
      <c r="Y62" s="337"/>
      <c r="Z62" s="338"/>
      <c r="AA62" s="406" t="e">
        <f>IF($W$42=3,AI23/AA$32*1000,IF($W$42=1,AA70/AA$32*1000,AA74/AA$32*1000))</f>
        <v>#DIV/0!</v>
      </c>
      <c r="AB62" s="358" t="s">
        <v>923</v>
      </c>
      <c r="AC62" s="337"/>
      <c r="AD62" s="54"/>
      <c r="AE62" s="406" t="e">
        <f>IF($W$42=3,AP23/AP$32*1000,IF($W$42=1,AE70/AP$32*1000,AE74/AP$32*1000))</f>
        <v>#DIV/0!</v>
      </c>
      <c r="AF62" s="351" t="s">
        <v>924</v>
      </c>
      <c r="AG62" s="22"/>
      <c r="AH62" s="13"/>
      <c r="AI62" s="271"/>
    </row>
    <row r="63" spans="2:35" ht="15.6" customHeight="1" x14ac:dyDescent="0.15">
      <c r="B63" s="616"/>
      <c r="C63" s="617"/>
      <c r="D63" s="617"/>
      <c r="E63" s="617"/>
      <c r="F63" s="617"/>
      <c r="G63" s="617"/>
      <c r="H63" s="617"/>
      <c r="I63" s="617"/>
      <c r="J63" s="617"/>
      <c r="K63" s="617"/>
      <c r="L63" s="617"/>
      <c r="M63" s="617"/>
      <c r="N63" s="617"/>
      <c r="O63" s="617"/>
      <c r="P63" s="617"/>
      <c r="Q63" s="617"/>
      <c r="R63" s="618"/>
      <c r="T63" s="10"/>
      <c r="U63" s="13" t="s">
        <v>811</v>
      </c>
      <c r="V63" s="22" t="s">
        <v>159</v>
      </c>
      <c r="W63" s="407" t="e">
        <f>IF($W$42=3,AA24/W$32*1000,IF($W$42=1,W71/W$32*1000,W75/W$32*1000))</f>
        <v>#DIV/0!</v>
      </c>
      <c r="X63" s="359" t="s">
        <v>925</v>
      </c>
      <c r="Y63" s="310"/>
      <c r="Z63" s="311"/>
      <c r="AA63" s="407" t="e">
        <f>IF($W$42=3,AI24/AA$32*1000,IF($W$42=1,AA71/AA$32*1000,AA75/AA$32*1000))</f>
        <v>#DIV/0!</v>
      </c>
      <c r="AB63" s="359" t="s">
        <v>926</v>
      </c>
      <c r="AC63" s="310"/>
      <c r="AD63" s="309"/>
      <c r="AE63" s="407" t="e">
        <f>IF($W$42=3,AP24/AP$32*1000,IF($W$42=1,AE71/AP$32*1000,AE75/AP$32*1000))</f>
        <v>#DIV/0!</v>
      </c>
      <c r="AF63" s="351" t="s">
        <v>927</v>
      </c>
      <c r="AG63" s="22"/>
      <c r="AH63" s="13"/>
      <c r="AI63" s="271"/>
    </row>
    <row r="64" spans="2:35" ht="15.6" customHeight="1" x14ac:dyDescent="0.15">
      <c r="B64" s="616"/>
      <c r="C64" s="617"/>
      <c r="D64" s="617"/>
      <c r="E64" s="617"/>
      <c r="F64" s="617"/>
      <c r="G64" s="617"/>
      <c r="H64" s="617"/>
      <c r="I64" s="617"/>
      <c r="J64" s="617"/>
      <c r="K64" s="617"/>
      <c r="L64" s="617"/>
      <c r="M64" s="617"/>
      <c r="N64" s="617"/>
      <c r="O64" s="617"/>
      <c r="P64" s="617"/>
      <c r="Q64" s="617"/>
      <c r="R64" s="618"/>
      <c r="T64" s="10"/>
      <c r="U64" s="262" t="s">
        <v>809</v>
      </c>
      <c r="V64" s="13"/>
      <c r="W64" s="312"/>
      <c r="X64" s="22"/>
      <c r="Y64" s="57"/>
      <c r="Z64" s="61"/>
      <c r="AA64" s="312"/>
      <c r="AB64" s="22"/>
      <c r="AC64" s="57"/>
      <c r="AD64" s="13"/>
      <c r="AE64" s="312"/>
      <c r="AF64" s="22"/>
      <c r="AG64" s="13"/>
      <c r="AH64" s="13"/>
      <c r="AI64" s="271"/>
    </row>
    <row r="65" spans="2:38" ht="15.6" customHeight="1" x14ac:dyDescent="0.15">
      <c r="B65" s="616"/>
      <c r="C65" s="617"/>
      <c r="D65" s="617"/>
      <c r="E65" s="617"/>
      <c r="F65" s="617"/>
      <c r="G65" s="617"/>
      <c r="H65" s="617"/>
      <c r="I65" s="617"/>
      <c r="J65" s="617"/>
      <c r="K65" s="617"/>
      <c r="L65" s="617"/>
      <c r="M65" s="617"/>
      <c r="N65" s="617"/>
      <c r="O65" s="617"/>
      <c r="P65" s="617"/>
      <c r="Q65" s="617"/>
      <c r="R65" s="618"/>
      <c r="T65" s="10"/>
      <c r="U65" s="13" t="s">
        <v>812</v>
      </c>
      <c r="V65" s="22" t="s">
        <v>821</v>
      </c>
      <c r="W65" s="85" t="e">
        <f>IF(W42=2,W73/(W28*(1-E18)-W29*charFracC/fuelFracC),IF(W56&gt;0,((AA18-$N21)*44/12)/(W$56/fuelFracC)*1000,0))</f>
        <v>#DIV/0!</v>
      </c>
      <c r="X65" s="351" t="s">
        <v>902</v>
      </c>
      <c r="Y65" s="57"/>
      <c r="Z65" s="61"/>
      <c r="AA65" s="85" t="e">
        <f>IF(W42=2,AA73/(AA28*(1-E18)-AA29*charFracC/fuelFracC),IF(AA56&gt;0,((AI18-$N21)*44/12)/(AA$56/fuelFracC)*1000,0))</f>
        <v>#DIV/0!</v>
      </c>
      <c r="AB65" s="351" t="s">
        <v>903</v>
      </c>
      <c r="AC65" s="57"/>
      <c r="AD65" s="13"/>
      <c r="AE65" s="85" t="e">
        <f>IF(W42=2,AE73/(AP28*(1-E18)-AP29*charFracC/fuelFracC),IF(AE56&gt;0,((AP18-$N21)*44/12)/(AE$56/fuelFracC)*1000,0))</f>
        <v>#DIV/0!</v>
      </c>
      <c r="AF65" s="351" t="s">
        <v>904</v>
      </c>
      <c r="AG65" s="13"/>
      <c r="AH65" s="13"/>
      <c r="AI65" s="271"/>
    </row>
    <row r="66" spans="2:38" ht="15.6" customHeight="1" x14ac:dyDescent="0.15">
      <c r="B66" s="616"/>
      <c r="C66" s="617"/>
      <c r="D66" s="617"/>
      <c r="E66" s="617"/>
      <c r="F66" s="617"/>
      <c r="G66" s="617"/>
      <c r="H66" s="617"/>
      <c r="I66" s="617"/>
      <c r="J66" s="617"/>
      <c r="K66" s="617"/>
      <c r="L66" s="617"/>
      <c r="M66" s="617"/>
      <c r="N66" s="617"/>
      <c r="O66" s="617"/>
      <c r="P66" s="617"/>
      <c r="Q66" s="617"/>
      <c r="R66" s="618"/>
      <c r="T66" s="10"/>
      <c r="U66" s="13" t="s">
        <v>810</v>
      </c>
      <c r="V66" s="22" t="s">
        <v>821</v>
      </c>
      <c r="W66" s="406" t="e">
        <f>IF(W42=2,W74/(W28*(1-E18)-W29*charFracC/fuelFracC),IF(W56&gt;0,((AA19-$N22)*28/12)/(W$56/fuelFracC)*1000,0))</f>
        <v>#DIV/0!</v>
      </c>
      <c r="X66" s="351" t="s">
        <v>899</v>
      </c>
      <c r="Y66" s="325"/>
      <c r="Z66" s="326"/>
      <c r="AA66" s="406" t="e">
        <f>IF(W42=2,AA74/(AA28*(1-E18)-AA29*charFracC/fuelFracC),IF(AA56&gt;0,((AI19-$N22)*28/12)/(AA$56/fuelFracC)*1000,0))</f>
        <v>#DIV/0!</v>
      </c>
      <c r="AB66" s="351" t="s">
        <v>900</v>
      </c>
      <c r="AC66" s="325"/>
      <c r="AD66" s="324"/>
      <c r="AE66" s="406" t="e">
        <f>IF(W42=2,AE74/(AP28*(1-E18)-AP29*charFracC/fuelFracC),IF(AE56&gt;0,((AP19-$N22)*28/12)/(AE$56/fuelFracC)*1000,0))</f>
        <v>#DIV/0!</v>
      </c>
      <c r="AF66" s="351" t="s">
        <v>901</v>
      </c>
      <c r="AG66" s="13"/>
      <c r="AH66" s="13"/>
      <c r="AI66" s="271"/>
    </row>
    <row r="67" spans="2:38" ht="15.6" customHeight="1" x14ac:dyDescent="0.15">
      <c r="B67" s="616"/>
      <c r="C67" s="617"/>
      <c r="D67" s="617"/>
      <c r="E67" s="617"/>
      <c r="F67" s="617"/>
      <c r="G67" s="617"/>
      <c r="H67" s="617"/>
      <c r="I67" s="617"/>
      <c r="J67" s="617"/>
      <c r="K67" s="617"/>
      <c r="L67" s="617"/>
      <c r="M67" s="617"/>
      <c r="N67" s="617"/>
      <c r="O67" s="617"/>
      <c r="P67" s="617"/>
      <c r="Q67" s="617"/>
      <c r="R67" s="618"/>
      <c r="T67" s="10"/>
      <c r="U67" s="13" t="s">
        <v>811</v>
      </c>
      <c r="V67" s="22" t="s">
        <v>821</v>
      </c>
      <c r="W67" s="407" t="e">
        <f>IF(W42=2,W75/(W28*(1-E18)-W29*charFracC/fuelFracC),IF(W57&gt;0,(AA20-$N23)/(W$57/fuelFracC)*1000/1000000,0))</f>
        <v>#DIV/0!</v>
      </c>
      <c r="X67" s="351" t="s">
        <v>905</v>
      </c>
      <c r="Y67" s="310"/>
      <c r="Z67" s="311"/>
      <c r="AA67" s="407" t="e">
        <f>IF(W42=2,AA75/(AA28*(1-E18)-AA29*charFracC/fuelFracC),IF(AA57&gt;0,(AI20-$N23)/(AA$57/fuelFracC)*1000/1000000,0))</f>
        <v>#DIV/0!</v>
      </c>
      <c r="AB67" s="351" t="s">
        <v>906</v>
      </c>
      <c r="AC67" s="310"/>
      <c r="AD67" s="309"/>
      <c r="AE67" s="407" t="e">
        <f>IF(W42=2,AE75/(AP28*(1-E18)-AP29*charFracC/fuelFracC),IF(AE57&gt;0,(AP20-$N23)/(AE$57/fuelFracC)*1000/1000000,0))</f>
        <v>#DIV/0!</v>
      </c>
      <c r="AF67" s="351" t="s">
        <v>907</v>
      </c>
      <c r="AG67" s="13"/>
      <c r="AH67" s="13"/>
      <c r="AI67" s="271"/>
    </row>
    <row r="68" spans="2:38" ht="15.6" customHeight="1" x14ac:dyDescent="0.15">
      <c r="B68" s="616"/>
      <c r="C68" s="617"/>
      <c r="D68" s="617"/>
      <c r="E68" s="617"/>
      <c r="F68" s="617"/>
      <c r="G68" s="617"/>
      <c r="H68" s="617"/>
      <c r="I68" s="617"/>
      <c r="J68" s="617"/>
      <c r="K68" s="617"/>
      <c r="L68" s="617"/>
      <c r="M68" s="617"/>
      <c r="N68" s="617"/>
      <c r="O68" s="617"/>
      <c r="P68" s="617"/>
      <c r="Q68" s="617"/>
      <c r="R68" s="618"/>
      <c r="T68" s="10"/>
      <c r="U68" s="262" t="s">
        <v>947</v>
      </c>
      <c r="V68" s="13"/>
      <c r="W68" s="312"/>
      <c r="X68" s="22"/>
      <c r="Y68" s="57"/>
      <c r="Z68" s="61"/>
      <c r="AA68" s="312"/>
      <c r="AB68" s="22"/>
      <c r="AC68" s="57"/>
      <c r="AD68" s="13"/>
      <c r="AE68" s="312"/>
      <c r="AF68" s="22"/>
      <c r="AG68" s="13"/>
      <c r="AH68" s="21"/>
      <c r="AL68" s="393"/>
    </row>
    <row r="69" spans="2:38" ht="15.6" customHeight="1" x14ac:dyDescent="0.15">
      <c r="B69" s="616"/>
      <c r="C69" s="617"/>
      <c r="D69" s="617"/>
      <c r="E69" s="617"/>
      <c r="F69" s="617"/>
      <c r="G69" s="617"/>
      <c r="H69" s="617"/>
      <c r="I69" s="617"/>
      <c r="J69" s="617"/>
      <c r="K69" s="617"/>
      <c r="L69" s="617"/>
      <c r="M69" s="617"/>
      <c r="N69" s="617"/>
      <c r="O69" s="617"/>
      <c r="P69" s="617"/>
      <c r="Q69" s="617"/>
      <c r="R69" s="618"/>
      <c r="T69" s="10"/>
      <c r="U69" s="13" t="s">
        <v>812</v>
      </c>
      <c r="V69" s="22" t="s">
        <v>20</v>
      </c>
      <c r="W69" s="85" t="e">
        <f>W65*(W28*(1-$E$18)-W29*charFracC/fuelFracC)/1000</f>
        <v>#DIV/0!</v>
      </c>
      <c r="X69" s="360" t="s">
        <v>914</v>
      </c>
      <c r="Y69" s="361"/>
      <c r="Z69" s="362"/>
      <c r="AA69" s="85" t="e">
        <f>AA65*(AA28*(1-$E$18)-AA29*charFracC/fuelFracC)/1000</f>
        <v>#DIV/0!</v>
      </c>
      <c r="AB69" s="360" t="s">
        <v>915</v>
      </c>
      <c r="AC69" s="361"/>
      <c r="AD69" s="363"/>
      <c r="AE69" s="85" t="e">
        <f>AE65*(AP28*(1-$E$18)-AP29*charFracC/fuelFracC)/1000</f>
        <v>#DIV/0!</v>
      </c>
      <c r="AF69" s="351" t="s">
        <v>916</v>
      </c>
      <c r="AG69" s="13"/>
      <c r="AH69" s="21"/>
    </row>
    <row r="70" spans="2:38" ht="15.6" customHeight="1" x14ac:dyDescent="0.15">
      <c r="B70" s="613"/>
      <c r="C70" s="614"/>
      <c r="D70" s="614"/>
      <c r="E70" s="614"/>
      <c r="F70" s="614"/>
      <c r="G70" s="614"/>
      <c r="H70" s="614"/>
      <c r="I70" s="614"/>
      <c r="J70" s="614"/>
      <c r="K70" s="614"/>
      <c r="L70" s="614"/>
      <c r="M70" s="614"/>
      <c r="N70" s="614"/>
      <c r="O70" s="614"/>
      <c r="P70" s="614"/>
      <c r="Q70" s="614"/>
      <c r="R70" s="615"/>
      <c r="T70" s="10"/>
      <c r="U70" s="13" t="s">
        <v>810</v>
      </c>
      <c r="V70" s="22" t="s">
        <v>20</v>
      </c>
      <c r="W70" s="406" t="e">
        <f>W66*(W28*(1-$E$18)-W29*charFracC/fuelFracC)/1000</f>
        <v>#DIV/0!</v>
      </c>
      <c r="X70" s="358" t="s">
        <v>911</v>
      </c>
      <c r="Y70" s="337"/>
      <c r="Z70" s="338"/>
      <c r="AA70" s="406" t="e">
        <f>AA66*(AA28*(1-$E$18)-AA29*charFracC/fuelFracC)/1000</f>
        <v>#DIV/0!</v>
      </c>
      <c r="AB70" s="358" t="s">
        <v>912</v>
      </c>
      <c r="AC70" s="337"/>
      <c r="AD70" s="54"/>
      <c r="AE70" s="406" t="e">
        <f>AE66*(AP28*(1-$E$18)-AP29*charFracC/fuelFracC)/1000</f>
        <v>#DIV/0!</v>
      </c>
      <c r="AF70" s="351" t="s">
        <v>913</v>
      </c>
      <c r="AG70" s="13"/>
      <c r="AH70" s="21"/>
    </row>
    <row r="71" spans="2:38" ht="15.6" customHeight="1" x14ac:dyDescent="0.15">
      <c r="T71" s="10"/>
      <c r="U71" s="13" t="s">
        <v>811</v>
      </c>
      <c r="V71" s="22" t="s">
        <v>20</v>
      </c>
      <c r="W71" s="407" t="e">
        <f>W67*(W28*(1-$E$18)-W29*charFracC/fuelFracC)/1000</f>
        <v>#DIV/0!</v>
      </c>
      <c r="X71" s="359" t="s">
        <v>908</v>
      </c>
      <c r="Y71" s="310"/>
      <c r="Z71" s="311"/>
      <c r="AA71" s="407" t="e">
        <f>AA67*(AA28*(1-$E$18)-AA29*charFracC/fuelFracC)/1000</f>
        <v>#DIV/0!</v>
      </c>
      <c r="AB71" s="359" t="s">
        <v>909</v>
      </c>
      <c r="AC71" s="310"/>
      <c r="AD71" s="309"/>
      <c r="AE71" s="407" t="e">
        <f>AE67*(AP28*(1-$E$18)-AP29*charFracC/fuelFracC)/1000</f>
        <v>#DIV/0!</v>
      </c>
      <c r="AF71" s="351" t="s">
        <v>910</v>
      </c>
      <c r="AG71" s="13"/>
      <c r="AH71" s="21"/>
      <c r="AK71" s="394"/>
    </row>
    <row r="72" spans="2:38" ht="15.6" customHeight="1" x14ac:dyDescent="0.15">
      <c r="T72" s="10"/>
      <c r="U72" s="262" t="s">
        <v>948</v>
      </c>
      <c r="V72" s="13"/>
      <c r="W72" s="312"/>
      <c r="X72" s="22"/>
      <c r="Y72" s="57"/>
      <c r="Z72" s="61"/>
      <c r="AA72" s="2"/>
      <c r="AB72" s="22"/>
      <c r="AC72" s="57"/>
      <c r="AD72" s="13"/>
      <c r="AE72" s="312"/>
      <c r="AF72" s="22"/>
      <c r="AG72" s="13"/>
      <c r="AH72" s="21"/>
    </row>
    <row r="73" spans="2:38" ht="15.6" customHeight="1" x14ac:dyDescent="0.15">
      <c r="T73" s="10"/>
      <c r="U73" s="13" t="s">
        <v>812</v>
      </c>
      <c r="V73" s="22" t="s">
        <v>20</v>
      </c>
      <c r="W73" s="85">
        <f>W55*(AA18-N21)*(44*'General Information'!C22)/(0.008314*(AA21+273.15))/1000000</f>
        <v>0</v>
      </c>
      <c r="X73" s="360" t="s">
        <v>914</v>
      </c>
      <c r="Y73" s="361"/>
      <c r="Z73" s="362"/>
      <c r="AA73" s="93">
        <f>AA55*(AI18-N21)*(44*'General Information'!C22)/(0.008314*(AI21+273.15))/1000000</f>
        <v>0</v>
      </c>
      <c r="AB73" s="360" t="s">
        <v>915</v>
      </c>
      <c r="AC73" s="361"/>
      <c r="AD73" s="363"/>
      <c r="AE73" s="85">
        <f>AE55*(AP18-N21)*(44*'General Information'!C22)/(0.008314*(AP21+273.15))/1000000</f>
        <v>0</v>
      </c>
      <c r="AF73" s="351" t="s">
        <v>916</v>
      </c>
      <c r="AG73" s="13"/>
      <c r="AH73" s="21"/>
    </row>
    <row r="74" spans="2:38" ht="15.6" customHeight="1" x14ac:dyDescent="0.15">
      <c r="T74" s="10"/>
      <c r="U74" s="13" t="s">
        <v>810</v>
      </c>
      <c r="V74" s="22" t="s">
        <v>20</v>
      </c>
      <c r="W74" s="406">
        <f>W55*(AA19-N22)*(28*'General Information'!C22)/(0.008314*(AA21+273.15))/1000000</f>
        <v>0</v>
      </c>
      <c r="X74" s="358" t="s">
        <v>911</v>
      </c>
      <c r="Y74" s="337"/>
      <c r="Z74" s="338"/>
      <c r="AA74" s="401">
        <f>AA55*(AI19-N22)*(28*'General Information'!C22)/(0.008314*(AI21+273.15))/1000000</f>
        <v>0</v>
      </c>
      <c r="AB74" s="358" t="s">
        <v>912</v>
      </c>
      <c r="AC74" s="337"/>
      <c r="AD74" s="54"/>
      <c r="AE74" s="406">
        <f>AE55*(AP19-N22)*(28*'General Information'!C22)/(0.008314*(AP21+273.15))/1000000</f>
        <v>0</v>
      </c>
      <c r="AF74" s="351" t="s">
        <v>913</v>
      </c>
      <c r="AG74" s="13"/>
      <c r="AH74" s="21"/>
    </row>
    <row r="75" spans="2:38" ht="15.6" customHeight="1" thickBot="1" x14ac:dyDescent="0.2">
      <c r="T75" s="10"/>
      <c r="U75" s="13" t="s">
        <v>811</v>
      </c>
      <c r="V75" s="22" t="s">
        <v>20</v>
      </c>
      <c r="W75" s="407">
        <f>W55*(AA20-N23)/1000000</f>
        <v>0</v>
      </c>
      <c r="X75" s="359" t="s">
        <v>908</v>
      </c>
      <c r="Y75" s="310"/>
      <c r="Z75" s="311"/>
      <c r="AA75" s="408">
        <f>AA55*(AI20-N23)/1000000</f>
        <v>0</v>
      </c>
      <c r="AB75" s="359" t="s">
        <v>909</v>
      </c>
      <c r="AC75" s="310"/>
      <c r="AD75" s="309"/>
      <c r="AE75" s="407">
        <f>AE55*(AP20-N23)/1000000</f>
        <v>0</v>
      </c>
      <c r="AF75" s="351" t="s">
        <v>910</v>
      </c>
      <c r="AG75" s="13"/>
      <c r="AH75" s="21"/>
    </row>
    <row r="76" spans="2:38" ht="15.6" customHeight="1" thickTop="1" x14ac:dyDescent="0.15">
      <c r="T76" s="258"/>
      <c r="U76" s="259" t="s">
        <v>818</v>
      </c>
      <c r="V76" s="259"/>
      <c r="W76" s="313"/>
      <c r="X76" s="352"/>
      <c r="Y76" s="259"/>
      <c r="Z76" s="259"/>
      <c r="AA76" s="259"/>
      <c r="AB76" s="259"/>
      <c r="AC76" s="259"/>
      <c r="AD76" s="259"/>
      <c r="AE76" s="259"/>
      <c r="AF76" s="259"/>
      <c r="AG76" s="259"/>
      <c r="AH76" s="297"/>
    </row>
    <row r="77" spans="2:38" ht="15" customHeight="1" x14ac:dyDescent="0.15">
      <c r="T77" s="10"/>
      <c r="U77" s="13" t="s">
        <v>819</v>
      </c>
      <c r="V77" s="13" t="s">
        <v>20</v>
      </c>
      <c r="W77" s="406" t="e">
        <f>(IF(ISERROR(AA$38),W62,AVERAGE(W62,AA62))+AE62)*5</f>
        <v>#DIV/0!</v>
      </c>
      <c r="X77" s="22" t="s">
        <v>917</v>
      </c>
      <c r="Y77" s="13"/>
      <c r="Z77" s="13"/>
      <c r="AA77" s="13"/>
      <c r="AB77" s="13"/>
      <c r="AC77" s="13"/>
      <c r="AD77" s="13"/>
      <c r="AE77" s="13"/>
      <c r="AF77" s="13"/>
      <c r="AG77" s="13"/>
      <c r="AH77" s="21"/>
    </row>
    <row r="78" spans="2:38" ht="15" customHeight="1" thickBot="1" x14ac:dyDescent="0.2">
      <c r="T78" s="113"/>
      <c r="U78" s="114" t="s">
        <v>820</v>
      </c>
      <c r="V78" s="114" t="s">
        <v>20</v>
      </c>
      <c r="W78" s="409" t="e">
        <f>(IF(ISERROR(AA$38),W63,AVERAGE(W63,AA63))+AE63)*5</f>
        <v>#DIV/0!</v>
      </c>
      <c r="X78" s="115" t="s">
        <v>918</v>
      </c>
      <c r="Y78" s="114"/>
      <c r="Z78" s="114"/>
      <c r="AA78" s="114"/>
      <c r="AB78" s="114"/>
      <c r="AC78" s="114"/>
      <c r="AD78" s="114"/>
      <c r="AE78" s="114"/>
      <c r="AF78" s="114"/>
      <c r="AG78" s="114"/>
      <c r="AH78" s="298"/>
    </row>
    <row r="79" spans="2:38" ht="15" customHeight="1" thickTop="1" x14ac:dyDescent="0.15">
      <c r="T79" s="268"/>
      <c r="U79" s="136"/>
      <c r="V79" s="155"/>
      <c r="W79" s="137"/>
    </row>
    <row r="80" spans="2:38" ht="27.95" customHeight="1" x14ac:dyDescent="0.15">
      <c r="T80" s="268"/>
      <c r="U80" s="136"/>
      <c r="V80" s="155"/>
      <c r="W80" s="137"/>
    </row>
    <row r="81" spans="20:23" ht="27.95" customHeight="1" x14ac:dyDescent="0.15">
      <c r="T81" s="268"/>
      <c r="U81" s="136"/>
      <c r="V81" s="155"/>
      <c r="W81" s="137"/>
    </row>
    <row r="82" spans="20:23" ht="27.95" customHeight="1" x14ac:dyDescent="0.15">
      <c r="U82" s="136"/>
      <c r="V82" s="155"/>
      <c r="W82" s="137"/>
    </row>
  </sheetData>
  <mergeCells count="82">
    <mergeCell ref="B70:R70"/>
    <mergeCell ref="B26:R26"/>
    <mergeCell ref="B66:R66"/>
    <mergeCell ref="B67:R67"/>
    <mergeCell ref="B69:R69"/>
    <mergeCell ref="B61:R61"/>
    <mergeCell ref="B62:R62"/>
    <mergeCell ref="B64:R64"/>
    <mergeCell ref="B65:R65"/>
    <mergeCell ref="B55:R55"/>
    <mergeCell ref="B63:R63"/>
    <mergeCell ref="B68:R68"/>
    <mergeCell ref="B28:R28"/>
    <mergeCell ref="B33:R33"/>
    <mergeCell ref="B41:R41"/>
    <mergeCell ref="B46:R46"/>
    <mergeCell ref="B48:R48"/>
    <mergeCell ref="B56:R56"/>
    <mergeCell ref="B58:R58"/>
    <mergeCell ref="B44:R44"/>
    <mergeCell ref="B45:R45"/>
    <mergeCell ref="B47:R47"/>
    <mergeCell ref="B59:R59"/>
    <mergeCell ref="B50:R50"/>
    <mergeCell ref="B51:R51"/>
    <mergeCell ref="B53:R53"/>
    <mergeCell ref="B54:R54"/>
    <mergeCell ref="B52:R52"/>
    <mergeCell ref="B57:R57"/>
    <mergeCell ref="AL2:AQ2"/>
    <mergeCell ref="B40:R40"/>
    <mergeCell ref="B39:R39"/>
    <mergeCell ref="B42:R42"/>
    <mergeCell ref="AE3:AF3"/>
    <mergeCell ref="A2:S2"/>
    <mergeCell ref="W2:AB2"/>
    <mergeCell ref="AE2:AJ2"/>
    <mergeCell ref="AL3:AM3"/>
    <mergeCell ref="AP3:AQ3"/>
    <mergeCell ref="W3:X3"/>
    <mergeCell ref="D6:K6"/>
    <mergeCell ref="D7:K7"/>
    <mergeCell ref="D8:K8"/>
    <mergeCell ref="D9:K9"/>
    <mergeCell ref="M6:P6"/>
    <mergeCell ref="M7:P7"/>
    <mergeCell ref="B16:D16"/>
    <mergeCell ref="K16:M16"/>
    <mergeCell ref="B43:R43"/>
    <mergeCell ref="D10:K10"/>
    <mergeCell ref="B14:D14"/>
    <mergeCell ref="B15:D15"/>
    <mergeCell ref="K15:M15"/>
    <mergeCell ref="M8:P8"/>
    <mergeCell ref="B18:D18"/>
    <mergeCell ref="K19:M19"/>
    <mergeCell ref="B21:D21"/>
    <mergeCell ref="K20:M20"/>
    <mergeCell ref="E25:R25"/>
    <mergeCell ref="B23:D23"/>
    <mergeCell ref="B19:D19"/>
    <mergeCell ref="AL4:AM4"/>
    <mergeCell ref="AP4:AQ4"/>
    <mergeCell ref="W16:X16"/>
    <mergeCell ref="AE16:AF16"/>
    <mergeCell ref="AL16:AM16"/>
    <mergeCell ref="AA3:AB3"/>
    <mergeCell ref="AI3:AJ3"/>
    <mergeCell ref="D11:K11"/>
    <mergeCell ref="B35:R35"/>
    <mergeCell ref="B34:R34"/>
    <mergeCell ref="B32:R32"/>
    <mergeCell ref="B31:R31"/>
    <mergeCell ref="K17:M17"/>
    <mergeCell ref="B20:D20"/>
    <mergeCell ref="K18:M18"/>
    <mergeCell ref="AA4:AB4"/>
    <mergeCell ref="AI4:AJ4"/>
    <mergeCell ref="E17:G17"/>
    <mergeCell ref="B30:R30"/>
    <mergeCell ref="B29:R29"/>
    <mergeCell ref="B27:R27"/>
  </mergeCells>
  <phoneticPr fontId="4" type="noConversion"/>
  <conditionalFormatting sqref="W28:W40 AA28:AA40 AP28:AP41 AE44:AF51 W55:W75 AA55:AA75 AE55:AE75 W77:W78">
    <cfRule type="containsErrors" dxfId="12" priority="1" stopIfTrue="1">
      <formula>ISERROR(W28)</formula>
    </cfRule>
  </conditionalFormatting>
  <pageMargins left="0.74791666666666667" right="0.74791666666666667" top="0.75" bottom="0.75" header="0.51180555555555551" footer="0.5"/>
  <pageSetup scale="90" firstPageNumber="0" orientation="landscape" horizontalDpi="300" verticalDpi="300" r:id="rId1"/>
  <headerFooter alignWithMargins="0">
    <oddFooter>&amp;L&amp;F&amp;C&amp;A&amp;RPage &amp;P</oddFooter>
  </headerFooter>
  <rowBreaks count="1" manualBreakCount="1">
    <brk id="37" max="16383" man="1"/>
  </rowBreaks>
  <colBreaks count="2" manualBreakCount="2">
    <brk id="19" max="1048575" man="1"/>
    <brk id="52" max="1048575" man="1"/>
  </colBreaks>
  <ignoredErrors>
    <ignoredError sqref="E19 E22:E23 N20 D9:K11"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0244" r:id="rId4" name="ComboBox">
              <controlPr defaultSize="0" autoFill="0" autoLine="0" autoPict="0">
                <anchor moveWithCells="1" sizeWithCells="1">
                  <from>
                    <xdr:col>3</xdr:col>
                    <xdr:colOff>838200</xdr:colOff>
                    <xdr:row>15</xdr:row>
                    <xdr:rowOff>28575</xdr:rowOff>
                  </from>
                  <to>
                    <xdr:col>7</xdr:col>
                    <xdr:colOff>123825</xdr:colOff>
                    <xdr:row>16</xdr:row>
                    <xdr:rowOff>28575</xdr:rowOff>
                  </to>
                </anchor>
              </controlPr>
            </control>
          </mc:Choice>
        </mc:AlternateContent>
        <mc:AlternateContent xmlns:mc="http://schemas.openxmlformats.org/markup-compatibility/2006">
          <mc:Choice Requires="x14">
            <control shapeId="10311" r:id="rId5" name="Drop Down 71">
              <controlPr defaultSize="0" autoLine="0" autoPict="0">
                <anchor moveWithCells="1">
                  <from>
                    <xdr:col>21</xdr:col>
                    <xdr:colOff>19050</xdr:colOff>
                    <xdr:row>41</xdr:row>
                    <xdr:rowOff>0</xdr:rowOff>
                  </from>
                  <to>
                    <xdr:col>22</xdr:col>
                    <xdr:colOff>552450</xdr:colOff>
                    <xdr:row>42</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DU79"/>
  <sheetViews>
    <sheetView showGridLines="0" showZeros="0" zoomScaleNormal="100" zoomScaleSheetLayoutView="100" workbookViewId="0">
      <selection activeCell="D6" sqref="D6:K6"/>
    </sheetView>
  </sheetViews>
  <sheetFormatPr defaultColWidth="15.640625" defaultRowHeight="27.95" customHeight="1" x14ac:dyDescent="0.15"/>
  <cols>
    <col min="1" max="1" width="1.75" style="1" customWidth="1"/>
    <col min="2" max="2" width="14.5625" style="1" customWidth="1"/>
    <col min="3" max="3" width="6.60546875" style="2" customWidth="1"/>
    <col min="4" max="4" width="12.67578125" style="1" customWidth="1"/>
    <col min="5" max="5" width="8.08984375" style="1" customWidth="1"/>
    <col min="6" max="6" width="2.01953125" style="1" customWidth="1"/>
    <col min="7" max="7" width="5.93359375" style="1" customWidth="1"/>
    <col min="8" max="8" width="2.01953125" style="2" customWidth="1"/>
    <col min="9" max="9" width="7.28125" style="2" customWidth="1"/>
    <col min="10" max="10" width="1.75" style="2" customWidth="1"/>
    <col min="11" max="11" width="14.42578125" style="2" customWidth="1"/>
    <col min="12" max="12" width="5.66015625" style="2" customWidth="1"/>
    <col min="13" max="13" width="14.5625" style="2" customWidth="1"/>
    <col min="14" max="14" width="7.68359375" style="2" customWidth="1"/>
    <col min="15" max="15" width="2.01953125" style="2" customWidth="1"/>
    <col min="16" max="16" width="6.60546875" style="2" customWidth="1"/>
    <col min="17" max="17" width="2.01953125" style="2" customWidth="1"/>
    <col min="18" max="18" width="7.28125" style="2" customWidth="1"/>
    <col min="19" max="19" width="1.75" style="1" customWidth="1"/>
    <col min="20" max="20" width="1.75" style="3" customWidth="1"/>
    <col min="21" max="21" width="25.484375" style="3" customWidth="1"/>
    <col min="22" max="22" width="13.88671875" style="3" bestFit="1" customWidth="1"/>
    <col min="23" max="23" width="12" style="3" customWidth="1"/>
    <col min="24" max="24" width="5.390625" style="3" customWidth="1"/>
    <col min="25" max="25" width="0.5390625" style="3" customWidth="1"/>
    <col min="26" max="26" width="0.80859375" style="3" customWidth="1"/>
    <col min="27" max="27" width="8.76171875" style="3" customWidth="1"/>
    <col min="28" max="28" width="6.7421875" style="3" customWidth="1"/>
    <col min="29" max="30" width="0.80859375" style="3" customWidth="1"/>
    <col min="31" max="31" width="8.08984375" style="3" customWidth="1"/>
    <col min="32" max="32" width="5.796875" style="3" customWidth="1"/>
    <col min="33" max="33" width="0.80859375" style="3" customWidth="1"/>
    <col min="34" max="34" width="0.671875" style="3" customWidth="1"/>
    <col min="35" max="35" width="8.08984375" style="3" customWidth="1"/>
    <col min="36" max="36" width="5.12109375" style="3" customWidth="1"/>
    <col min="37" max="37" width="0.80859375" style="3" customWidth="1"/>
    <col min="38" max="38" width="8.62890625" style="3" customWidth="1"/>
    <col min="39" max="39" width="7.28125" style="3" customWidth="1"/>
    <col min="40" max="41" width="0.94140625" style="3" customWidth="1"/>
    <col min="42" max="42" width="8.08984375" style="3" customWidth="1"/>
    <col min="43" max="43" width="6.203125" style="3" customWidth="1"/>
    <col min="44" max="44" width="1.75" style="3" customWidth="1"/>
    <col min="45" max="45" width="8.359375" customWidth="1"/>
    <col min="46" max="46" width="5.796875" customWidth="1"/>
    <col min="47" max="47" width="6.47265625" customWidth="1"/>
    <col min="48" max="48" width="5.390625" customWidth="1"/>
    <col min="49" max="49" width="6.7421875" customWidth="1"/>
    <col min="50" max="50" width="7.4140625" customWidth="1"/>
    <col min="51" max="51" width="20.90234375" customWidth="1"/>
    <col min="52" max="53" width="1.75" customWidth="1"/>
    <col min="54" max="54" width="33.7109375" customWidth="1"/>
    <col min="55" max="55" width="5.796875" customWidth="1"/>
    <col min="56" max="56" width="6.47265625" customWidth="1"/>
    <col min="57" max="57" width="5.390625" customWidth="1"/>
    <col min="58" max="58" width="6.7421875" customWidth="1"/>
    <col min="59" max="59" width="7.4140625" customWidth="1"/>
    <col min="60" max="60" width="20.90234375" customWidth="1"/>
    <col min="61" max="61" width="0" hidden="1" customWidth="1"/>
    <col min="62" max="70" width="9.03515625" customWidth="1"/>
    <col min="71" max="122" width="8.8984375" customWidth="1"/>
    <col min="123" max="16384" width="15.640625" style="1"/>
  </cols>
  <sheetData>
    <row r="1" spans="1:125" ht="6" customHeight="1" thickTop="1" thickBot="1" x14ac:dyDescent="0.2">
      <c r="A1" s="4"/>
      <c r="B1" s="5"/>
      <c r="C1" s="5"/>
      <c r="D1" s="5"/>
      <c r="E1" s="5"/>
      <c r="F1" s="5"/>
      <c r="G1" s="5"/>
      <c r="H1" s="5"/>
      <c r="I1" s="5"/>
      <c r="J1" s="5"/>
      <c r="K1" s="5"/>
      <c r="L1" s="5"/>
      <c r="M1" s="5"/>
      <c r="N1" s="5"/>
      <c r="O1" s="5"/>
      <c r="P1" s="5"/>
      <c r="Q1" s="5"/>
      <c r="R1" s="5"/>
      <c r="S1" s="6"/>
      <c r="T1" s="7"/>
      <c r="U1" s="8"/>
      <c r="V1" s="8"/>
      <c r="W1" s="8"/>
      <c r="X1" s="8"/>
      <c r="Y1" s="8"/>
      <c r="Z1" s="8"/>
      <c r="AA1" s="8"/>
      <c r="AB1" s="8"/>
      <c r="AC1" s="8"/>
      <c r="AD1" s="8"/>
      <c r="AE1" s="8"/>
      <c r="AF1" s="8"/>
      <c r="AG1" s="8"/>
      <c r="AH1" s="8"/>
      <c r="AI1" s="8"/>
      <c r="AJ1" s="8"/>
      <c r="AK1" s="8"/>
      <c r="AL1" s="8"/>
      <c r="AM1" s="8"/>
      <c r="AN1" s="8"/>
      <c r="AO1" s="8"/>
      <c r="AP1" s="8"/>
      <c r="AQ1" s="8"/>
      <c r="AR1" s="9"/>
      <c r="AS1" s="25"/>
      <c r="AT1" s="2"/>
      <c r="DS1"/>
      <c r="DT1"/>
      <c r="DU1"/>
    </row>
    <row r="2" spans="1:125" ht="13.5" customHeight="1" thickBot="1" x14ac:dyDescent="0.2">
      <c r="A2" s="637" t="str">
        <f>"WATER BOILING TEST - VERSION "&amp;version&amp;" - TEST #3"</f>
        <v>WATER BOILING TEST - VERSION 4.2.3 - TEST #3</v>
      </c>
      <c r="B2" s="637"/>
      <c r="C2" s="637"/>
      <c r="D2" s="637"/>
      <c r="E2" s="637"/>
      <c r="F2" s="637"/>
      <c r="G2" s="637"/>
      <c r="H2" s="637"/>
      <c r="I2" s="637"/>
      <c r="J2" s="637"/>
      <c r="K2" s="637"/>
      <c r="L2" s="637"/>
      <c r="M2" s="637"/>
      <c r="N2" s="637"/>
      <c r="O2" s="637"/>
      <c r="P2" s="637"/>
      <c r="Q2" s="637"/>
      <c r="R2" s="637"/>
      <c r="S2" s="637"/>
      <c r="T2" s="10"/>
      <c r="U2" s="255" t="str">
        <f>"TEST #3 "&amp;D7</f>
        <v xml:space="preserve">TEST #3 </v>
      </c>
      <c r="V2" s="11"/>
      <c r="W2" s="638" t="s">
        <v>0</v>
      </c>
      <c r="X2" s="638"/>
      <c r="Y2" s="638"/>
      <c r="Z2" s="638"/>
      <c r="AA2" s="638"/>
      <c r="AB2" s="638"/>
      <c r="AC2" s="256"/>
      <c r="AD2" s="12"/>
      <c r="AE2" s="638" t="s">
        <v>1</v>
      </c>
      <c r="AF2" s="638"/>
      <c r="AG2" s="638"/>
      <c r="AH2" s="638"/>
      <c r="AI2" s="638"/>
      <c r="AJ2" s="638"/>
      <c r="AK2" s="13"/>
      <c r="AL2" s="638" t="s">
        <v>2</v>
      </c>
      <c r="AM2" s="638"/>
      <c r="AN2" s="638"/>
      <c r="AO2" s="638"/>
      <c r="AP2" s="638"/>
      <c r="AQ2" s="638"/>
      <c r="AR2" s="14"/>
    </row>
    <row r="3" spans="1:125" ht="12.75" customHeight="1" x14ac:dyDescent="0.15">
      <c r="A3" s="16"/>
      <c r="B3" s="17" t="s">
        <v>748</v>
      </c>
      <c r="C3" s="17"/>
      <c r="D3" s="17"/>
      <c r="E3" s="17"/>
      <c r="F3" s="17"/>
      <c r="G3" s="17"/>
      <c r="H3" s="17"/>
      <c r="I3" s="17"/>
      <c r="J3" s="17"/>
      <c r="K3" s="17"/>
      <c r="L3" s="17"/>
      <c r="M3" s="17"/>
      <c r="N3" s="17"/>
      <c r="O3" s="17"/>
      <c r="P3" s="17"/>
      <c r="Q3" s="17"/>
      <c r="R3" s="17"/>
      <c r="S3" s="18"/>
      <c r="T3" s="19"/>
      <c r="U3" s="20"/>
      <c r="V3" s="21"/>
      <c r="W3" s="641" t="s">
        <v>3</v>
      </c>
      <c r="X3" s="641"/>
      <c r="Y3" s="23"/>
      <c r="Z3" s="13"/>
      <c r="AA3" s="642" t="s">
        <v>4</v>
      </c>
      <c r="AB3" s="642"/>
      <c r="AC3" s="24"/>
      <c r="AD3" s="12"/>
      <c r="AE3" s="643" t="s">
        <v>3</v>
      </c>
      <c r="AF3" s="643"/>
      <c r="AG3" s="23"/>
      <c r="AH3" s="13"/>
      <c r="AI3" s="642" t="s">
        <v>4</v>
      </c>
      <c r="AJ3" s="642"/>
      <c r="AK3" s="12"/>
      <c r="AL3" s="639" t="s">
        <v>3</v>
      </c>
      <c r="AM3" s="639"/>
      <c r="AN3" s="23"/>
      <c r="AO3" s="13"/>
      <c r="AP3" s="640" t="s">
        <v>5</v>
      </c>
      <c r="AQ3" s="640"/>
      <c r="AR3" s="14"/>
    </row>
    <row r="4" spans="1:125" ht="12.75" customHeight="1" x14ac:dyDescent="0.15">
      <c r="A4" s="25"/>
      <c r="B4" s="26" t="s">
        <v>749</v>
      </c>
      <c r="C4" s="26"/>
      <c r="D4" s="26"/>
      <c r="E4" s="26"/>
      <c r="F4" s="26"/>
      <c r="G4" s="26"/>
      <c r="H4" s="26"/>
      <c r="I4" s="26"/>
      <c r="J4" s="27"/>
      <c r="K4" s="27"/>
      <c r="L4" s="27"/>
      <c r="M4" s="27"/>
      <c r="N4" s="27"/>
      <c r="O4" s="27"/>
      <c r="P4" s="27"/>
      <c r="Q4" s="27"/>
      <c r="R4" s="27"/>
      <c r="S4" s="15"/>
      <c r="T4" s="28"/>
      <c r="U4" s="29"/>
      <c r="V4" s="30"/>
      <c r="W4" s="31"/>
      <c r="X4" s="31"/>
      <c r="Y4" s="32"/>
      <c r="Z4" s="33"/>
      <c r="AA4" s="631" t="s">
        <v>6</v>
      </c>
      <c r="AB4" s="631"/>
      <c r="AC4" s="24"/>
      <c r="AD4" s="12"/>
      <c r="AE4" s="31"/>
      <c r="AF4" s="31"/>
      <c r="AG4" s="32"/>
      <c r="AH4" s="33"/>
      <c r="AI4" s="631" t="s">
        <v>6</v>
      </c>
      <c r="AJ4" s="631"/>
      <c r="AK4" s="12"/>
      <c r="AL4" s="633"/>
      <c r="AM4" s="633"/>
      <c r="AN4" s="34"/>
      <c r="AO4" s="31"/>
      <c r="AP4" s="644"/>
      <c r="AQ4" s="644"/>
      <c r="AR4" s="14"/>
    </row>
    <row r="5" spans="1:125" ht="13.5" customHeight="1" thickBot="1" x14ac:dyDescent="0.2">
      <c r="A5" s="25"/>
      <c r="B5" s="35" t="s">
        <v>7</v>
      </c>
      <c r="D5" s="2"/>
      <c r="E5" s="2"/>
      <c r="F5" s="2"/>
      <c r="G5" s="2"/>
      <c r="S5" s="15"/>
      <c r="T5" s="28"/>
      <c r="U5" s="36" t="s">
        <v>8</v>
      </c>
      <c r="V5" s="37" t="s">
        <v>9</v>
      </c>
      <c r="W5" s="38" t="s">
        <v>10</v>
      </c>
      <c r="X5" s="38" t="s">
        <v>11</v>
      </c>
      <c r="Y5" s="39"/>
      <c r="Z5" s="38"/>
      <c r="AA5" s="38" t="s">
        <v>10</v>
      </c>
      <c r="AB5" s="37" t="s">
        <v>11</v>
      </c>
      <c r="AC5" s="24"/>
      <c r="AD5" s="12"/>
      <c r="AE5" s="38" t="s">
        <v>10</v>
      </c>
      <c r="AF5" s="38" t="s">
        <v>11</v>
      </c>
      <c r="AG5" s="40"/>
      <c r="AH5" s="41"/>
      <c r="AI5" s="38" t="s">
        <v>10</v>
      </c>
      <c r="AJ5" s="37" t="s">
        <v>11</v>
      </c>
      <c r="AK5" s="12"/>
      <c r="AL5" s="38" t="s">
        <v>10</v>
      </c>
      <c r="AM5" s="38" t="s">
        <v>11</v>
      </c>
      <c r="AN5" s="40"/>
      <c r="AO5" s="41"/>
      <c r="AP5" s="38" t="s">
        <v>10</v>
      </c>
      <c r="AQ5" s="37" t="s">
        <v>11</v>
      </c>
      <c r="AR5" s="14"/>
    </row>
    <row r="6" spans="1:125" ht="15.75" customHeight="1" x14ac:dyDescent="0.2">
      <c r="A6" s="25"/>
      <c r="B6" s="2" t="s">
        <v>12</v>
      </c>
      <c r="D6" s="629"/>
      <c r="E6" s="629"/>
      <c r="F6" s="629"/>
      <c r="G6" s="629"/>
      <c r="H6" s="629"/>
      <c r="I6" s="629"/>
      <c r="J6" s="629"/>
      <c r="K6" s="629"/>
      <c r="M6" s="635" t="s">
        <v>834</v>
      </c>
      <c r="N6" s="635"/>
      <c r="O6" s="635"/>
      <c r="P6" s="635"/>
      <c r="Q6" s="265"/>
      <c r="R6" s="265"/>
      <c r="S6" s="15"/>
      <c r="T6" s="28"/>
      <c r="U6" s="30" t="s">
        <v>716</v>
      </c>
      <c r="V6" s="24" t="s">
        <v>13</v>
      </c>
      <c r="W6" s="42"/>
      <c r="X6" s="43" t="s">
        <v>14</v>
      </c>
      <c r="Y6" s="44"/>
      <c r="Z6" s="43"/>
      <c r="AA6" s="42"/>
      <c r="AB6" s="45" t="s">
        <v>15</v>
      </c>
      <c r="AC6" s="45"/>
      <c r="AD6" s="12"/>
      <c r="AE6" s="42"/>
      <c r="AF6" s="43" t="s">
        <v>16</v>
      </c>
      <c r="AG6" s="46"/>
      <c r="AH6" s="13"/>
      <c r="AI6" s="42"/>
      <c r="AJ6" s="45" t="s">
        <v>17</v>
      </c>
      <c r="AK6" s="12"/>
      <c r="AL6" s="42"/>
      <c r="AM6" s="43" t="s">
        <v>18</v>
      </c>
      <c r="AN6" s="46"/>
      <c r="AO6" s="13"/>
      <c r="AP6" s="42"/>
      <c r="AQ6" s="45" t="s">
        <v>19</v>
      </c>
      <c r="AR6" s="14"/>
    </row>
    <row r="7" spans="1:125" ht="15.75" customHeight="1" x14ac:dyDescent="0.2">
      <c r="A7" s="25"/>
      <c r="B7" s="2" t="s">
        <v>27</v>
      </c>
      <c r="D7" s="629"/>
      <c r="E7" s="629"/>
      <c r="F7" s="629"/>
      <c r="G7" s="629"/>
      <c r="H7" s="629"/>
      <c r="I7" s="629"/>
      <c r="J7" s="629"/>
      <c r="K7" s="629"/>
      <c r="M7" s="663" t="s">
        <v>969</v>
      </c>
      <c r="N7" s="663"/>
      <c r="O7" s="663"/>
      <c r="P7" s="663"/>
      <c r="Q7" s="265"/>
      <c r="R7" s="265"/>
      <c r="S7" s="15"/>
      <c r="T7" s="28"/>
      <c r="U7" s="30" t="s">
        <v>873</v>
      </c>
      <c r="V7" s="24" t="s">
        <v>20</v>
      </c>
      <c r="W7" s="47"/>
      <c r="X7" s="43" t="s">
        <v>21</v>
      </c>
      <c r="Y7" s="44"/>
      <c r="Z7" s="43"/>
      <c r="AA7" s="47"/>
      <c r="AB7" s="45" t="s">
        <v>22</v>
      </c>
      <c r="AC7" s="45"/>
      <c r="AD7" s="12"/>
      <c r="AE7" s="47"/>
      <c r="AF7" s="43" t="s">
        <v>23</v>
      </c>
      <c r="AG7" s="46"/>
      <c r="AH7" s="13"/>
      <c r="AI7" s="47"/>
      <c r="AJ7" s="45" t="s">
        <v>24</v>
      </c>
      <c r="AK7" s="12"/>
      <c r="AL7" s="47"/>
      <c r="AM7" s="43" t="s">
        <v>25</v>
      </c>
      <c r="AN7" s="46"/>
      <c r="AO7" s="13"/>
      <c r="AP7" s="47"/>
      <c r="AQ7" s="45" t="s">
        <v>26</v>
      </c>
      <c r="AR7" s="14"/>
    </row>
    <row r="8" spans="1:125" ht="15.75" customHeight="1" x14ac:dyDescent="0.2">
      <c r="A8" s="25"/>
      <c r="B8" s="2" t="s">
        <v>36</v>
      </c>
      <c r="D8" s="628"/>
      <c r="E8" s="629"/>
      <c r="F8" s="629"/>
      <c r="G8" s="629"/>
      <c r="H8" s="629"/>
      <c r="I8" s="629"/>
      <c r="J8" s="629"/>
      <c r="K8" s="629"/>
      <c r="M8" s="656" t="s">
        <v>953</v>
      </c>
      <c r="N8" s="656"/>
      <c r="O8" s="656"/>
      <c r="P8" s="656"/>
      <c r="Q8" s="265"/>
      <c r="R8" s="265"/>
      <c r="S8" s="15"/>
      <c r="T8" s="28"/>
      <c r="U8" s="30" t="s">
        <v>28</v>
      </c>
      <c r="V8" s="24" t="s">
        <v>29</v>
      </c>
      <c r="W8" s="48"/>
      <c r="X8" s="49" t="s">
        <v>30</v>
      </c>
      <c r="Y8" s="50"/>
      <c r="Z8" s="49"/>
      <c r="AA8" s="48"/>
      <c r="AB8" s="51" t="s">
        <v>31</v>
      </c>
      <c r="AC8" s="51"/>
      <c r="AD8" s="52"/>
      <c r="AE8" s="48"/>
      <c r="AF8" s="49" t="s">
        <v>32</v>
      </c>
      <c r="AG8" s="53"/>
      <c r="AH8" s="54"/>
      <c r="AI8" s="48"/>
      <c r="AJ8" s="45" t="s">
        <v>33</v>
      </c>
      <c r="AK8" s="12"/>
      <c r="AL8" s="48"/>
      <c r="AM8" s="43" t="s">
        <v>34</v>
      </c>
      <c r="AN8" s="46"/>
      <c r="AO8" s="13"/>
      <c r="AP8" s="48"/>
      <c r="AQ8" s="45" t="s">
        <v>35</v>
      </c>
      <c r="AR8" s="14"/>
    </row>
    <row r="9" spans="1:125" ht="15.75" customHeight="1" x14ac:dyDescent="0.2">
      <c r="A9" s="25"/>
      <c r="B9" s="2" t="s">
        <v>50</v>
      </c>
      <c r="D9" s="630">
        <f>'General Information'!C7</f>
        <v>0</v>
      </c>
      <c r="E9" s="630"/>
      <c r="F9" s="630"/>
      <c r="G9" s="630"/>
      <c r="H9" s="630"/>
      <c r="I9" s="630"/>
      <c r="J9" s="630"/>
      <c r="K9" s="630"/>
      <c r="M9" s="265"/>
      <c r="N9" s="265"/>
      <c r="O9" s="265"/>
      <c r="P9" s="265"/>
      <c r="Q9" s="265"/>
      <c r="R9" s="265"/>
      <c r="S9" s="15"/>
      <c r="T9" s="28"/>
      <c r="U9" s="55" t="s">
        <v>37</v>
      </c>
      <c r="V9" s="24" t="s">
        <v>29</v>
      </c>
      <c r="W9" s="48"/>
      <c r="X9" s="49" t="s">
        <v>185</v>
      </c>
      <c r="Y9" s="50"/>
      <c r="Z9" s="49"/>
      <c r="AA9" s="48"/>
      <c r="AB9" s="51" t="s">
        <v>38</v>
      </c>
      <c r="AC9" s="51"/>
      <c r="AD9" s="52"/>
      <c r="AE9" s="48"/>
      <c r="AF9" s="49" t="s">
        <v>39</v>
      </c>
      <c r="AG9" s="53"/>
      <c r="AH9" s="54"/>
      <c r="AI9" s="48"/>
      <c r="AJ9" s="45" t="s">
        <v>40</v>
      </c>
      <c r="AK9" s="12"/>
      <c r="AL9" s="48"/>
      <c r="AM9" s="56" t="s">
        <v>41</v>
      </c>
      <c r="AN9" s="57"/>
      <c r="AO9" s="58"/>
      <c r="AP9" s="48"/>
      <c r="AQ9" s="59" t="s">
        <v>42</v>
      </c>
      <c r="AR9" s="14"/>
    </row>
    <row r="10" spans="1:125" ht="15.75" customHeight="1" x14ac:dyDescent="0.2">
      <c r="A10" s="25"/>
      <c r="B10" s="2" t="s">
        <v>43</v>
      </c>
      <c r="D10" s="632">
        <f>'General Information'!C10</f>
        <v>0</v>
      </c>
      <c r="E10" s="632"/>
      <c r="F10" s="632"/>
      <c r="G10" s="632"/>
      <c r="H10" s="632"/>
      <c r="I10" s="632"/>
      <c r="J10" s="632"/>
      <c r="K10" s="632"/>
      <c r="S10" s="15"/>
      <c r="T10" s="28"/>
      <c r="U10" s="55" t="s">
        <v>44</v>
      </c>
      <c r="V10" s="24" t="s">
        <v>29</v>
      </c>
      <c r="W10" s="48"/>
      <c r="X10" s="49" t="s">
        <v>186</v>
      </c>
      <c r="Y10" s="50"/>
      <c r="Z10" s="49"/>
      <c r="AA10" s="48"/>
      <c r="AB10" s="51" t="s">
        <v>45</v>
      </c>
      <c r="AC10" s="51"/>
      <c r="AD10" s="52"/>
      <c r="AE10" s="48"/>
      <c r="AF10" s="49" t="s">
        <v>46</v>
      </c>
      <c r="AG10" s="53"/>
      <c r="AH10" s="54"/>
      <c r="AI10" s="48"/>
      <c r="AJ10" s="45" t="s">
        <v>47</v>
      </c>
      <c r="AK10" s="12"/>
      <c r="AL10" s="48"/>
      <c r="AM10" s="56" t="s">
        <v>48</v>
      </c>
      <c r="AN10" s="57"/>
      <c r="AO10" s="58"/>
      <c r="AP10" s="48"/>
      <c r="AQ10" s="59" t="s">
        <v>49</v>
      </c>
      <c r="AR10" s="14"/>
    </row>
    <row r="11" spans="1:125" ht="15.75" customHeight="1" x14ac:dyDescent="0.2">
      <c r="A11" s="25"/>
      <c r="B11" s="2" t="s">
        <v>58</v>
      </c>
      <c r="D11" s="645">
        <f>'General Information'!J3</f>
        <v>0</v>
      </c>
      <c r="E11" s="645"/>
      <c r="F11" s="645"/>
      <c r="G11" s="645"/>
      <c r="H11" s="645"/>
      <c r="I11" s="645"/>
      <c r="J11" s="645"/>
      <c r="K11" s="645"/>
      <c r="S11" s="15"/>
      <c r="T11" s="28"/>
      <c r="U11" s="55" t="s">
        <v>51</v>
      </c>
      <c r="V11" s="24" t="s">
        <v>29</v>
      </c>
      <c r="W11" s="48"/>
      <c r="X11" s="49" t="s">
        <v>52</v>
      </c>
      <c r="Y11" s="50"/>
      <c r="Z11" s="49"/>
      <c r="AA11" s="48"/>
      <c r="AB11" s="51" t="s">
        <v>53</v>
      </c>
      <c r="AC11" s="51"/>
      <c r="AD11" s="52"/>
      <c r="AE11" s="48"/>
      <c r="AF11" s="49" t="s">
        <v>54</v>
      </c>
      <c r="AG11" s="53"/>
      <c r="AH11" s="54"/>
      <c r="AI11" s="48"/>
      <c r="AJ11" s="45" t="s">
        <v>55</v>
      </c>
      <c r="AK11" s="12"/>
      <c r="AL11" s="48"/>
      <c r="AM11" s="56" t="s">
        <v>56</v>
      </c>
      <c r="AN11" s="57"/>
      <c r="AO11" s="58"/>
      <c r="AP11" s="48"/>
      <c r="AQ11" s="59" t="s">
        <v>57</v>
      </c>
      <c r="AR11" s="14"/>
    </row>
    <row r="12" spans="1:125" ht="15.75" customHeight="1" x14ac:dyDescent="0.2">
      <c r="A12" s="25"/>
      <c r="B12" s="2"/>
      <c r="D12" s="60"/>
      <c r="E12" s="60"/>
      <c r="F12" s="60"/>
      <c r="G12" s="60"/>
      <c r="H12" s="60"/>
      <c r="I12" s="60"/>
      <c r="J12" s="60"/>
      <c r="S12" s="15"/>
      <c r="T12" s="28"/>
      <c r="U12" s="30" t="s">
        <v>59</v>
      </c>
      <c r="V12" s="24" t="s">
        <v>20</v>
      </c>
      <c r="W12" s="47"/>
      <c r="X12" s="43" t="s">
        <v>60</v>
      </c>
      <c r="Y12" s="44"/>
      <c r="Z12" s="43"/>
      <c r="AA12" s="47"/>
      <c r="AB12" s="45" t="s">
        <v>61</v>
      </c>
      <c r="AC12" s="45"/>
      <c r="AD12" s="12"/>
      <c r="AE12" s="47"/>
      <c r="AF12" s="43" t="s">
        <v>62</v>
      </c>
      <c r="AG12" s="46"/>
      <c r="AH12" s="13"/>
      <c r="AI12" s="47"/>
      <c r="AJ12" s="45" t="s">
        <v>63</v>
      </c>
      <c r="AK12" s="12"/>
      <c r="AL12" s="47"/>
      <c r="AM12" s="56" t="s">
        <v>64</v>
      </c>
      <c r="AN12" s="57"/>
      <c r="AO12" s="61"/>
      <c r="AP12" s="47"/>
      <c r="AQ12" s="59" t="s">
        <v>65</v>
      </c>
      <c r="AR12" s="14"/>
    </row>
    <row r="13" spans="1:125" ht="15.75" customHeight="1" thickBot="1" x14ac:dyDescent="0.25">
      <c r="A13" s="25"/>
      <c r="B13" s="62" t="s">
        <v>80</v>
      </c>
      <c r="C13" s="63"/>
      <c r="D13" s="64"/>
      <c r="E13" s="65"/>
      <c r="F13" s="64"/>
      <c r="G13" s="64"/>
      <c r="H13" s="64"/>
      <c r="I13" s="64"/>
      <c r="J13" s="64"/>
      <c r="K13" s="66"/>
      <c r="L13" s="66"/>
      <c r="M13" s="66"/>
      <c r="N13" s="66"/>
      <c r="O13" s="66"/>
      <c r="P13" s="66"/>
      <c r="Q13" s="66"/>
      <c r="R13" s="66"/>
      <c r="S13" s="15"/>
      <c r="T13" s="28"/>
      <c r="U13" s="55" t="s">
        <v>66</v>
      </c>
      <c r="V13" s="24" t="s">
        <v>20</v>
      </c>
      <c r="W13" s="47"/>
      <c r="X13" s="43" t="s">
        <v>67</v>
      </c>
      <c r="Y13" s="44"/>
      <c r="Z13" s="43"/>
      <c r="AA13" s="47"/>
      <c r="AB13" s="45" t="s">
        <v>68</v>
      </c>
      <c r="AC13" s="45"/>
      <c r="AD13" s="12"/>
      <c r="AE13" s="47"/>
      <c r="AF13" s="43" t="s">
        <v>69</v>
      </c>
      <c r="AG13" s="46"/>
      <c r="AH13" s="13"/>
      <c r="AI13" s="47"/>
      <c r="AJ13" s="45" t="s">
        <v>70</v>
      </c>
      <c r="AK13" s="12"/>
      <c r="AL13" s="47"/>
      <c r="AM13" s="56" t="s">
        <v>71</v>
      </c>
      <c r="AN13" s="57"/>
      <c r="AO13" s="58"/>
      <c r="AP13" s="47"/>
      <c r="AQ13" s="59" t="s">
        <v>72</v>
      </c>
      <c r="AR13" s="14"/>
    </row>
    <row r="14" spans="1:125" ht="15.75" customHeight="1" x14ac:dyDescent="0.2">
      <c r="A14" s="25"/>
      <c r="B14" s="624" t="s">
        <v>88</v>
      </c>
      <c r="C14" s="624"/>
      <c r="D14" s="624"/>
      <c r="E14" s="67" t="s">
        <v>89</v>
      </c>
      <c r="F14" s="67"/>
      <c r="G14" s="67" t="s">
        <v>90</v>
      </c>
      <c r="H14" s="68"/>
      <c r="I14" s="69" t="s">
        <v>11</v>
      </c>
      <c r="J14" s="68"/>
      <c r="K14" s="68" t="s">
        <v>88</v>
      </c>
      <c r="L14" s="68"/>
      <c r="M14" s="68"/>
      <c r="N14" s="67" t="s">
        <v>89</v>
      </c>
      <c r="O14" s="67"/>
      <c r="P14" s="68" t="s">
        <v>90</v>
      </c>
      <c r="Q14" s="68"/>
      <c r="R14" s="69" t="s">
        <v>11</v>
      </c>
      <c r="S14" s="15"/>
      <c r="T14" s="28"/>
      <c r="U14" s="55" t="s">
        <v>73</v>
      </c>
      <c r="V14" s="24" t="s">
        <v>20</v>
      </c>
      <c r="W14" s="47"/>
      <c r="X14" s="43" t="s">
        <v>74</v>
      </c>
      <c r="Y14" s="44"/>
      <c r="Z14" s="43"/>
      <c r="AA14" s="47"/>
      <c r="AB14" s="45" t="s">
        <v>75</v>
      </c>
      <c r="AC14" s="45"/>
      <c r="AD14" s="12"/>
      <c r="AE14" s="47"/>
      <c r="AF14" s="43" t="s">
        <v>76</v>
      </c>
      <c r="AG14" s="46"/>
      <c r="AH14" s="13"/>
      <c r="AI14" s="47"/>
      <c r="AJ14" s="45" t="s">
        <v>77</v>
      </c>
      <c r="AK14" s="12"/>
      <c r="AL14" s="47"/>
      <c r="AM14" s="56" t="s">
        <v>78</v>
      </c>
      <c r="AN14" s="57"/>
      <c r="AO14" s="58"/>
      <c r="AP14" s="47"/>
      <c r="AQ14" s="59" t="s">
        <v>79</v>
      </c>
      <c r="AR14" s="14"/>
    </row>
    <row r="15" spans="1:125" ht="15.75" customHeight="1" x14ac:dyDescent="0.2">
      <c r="A15" s="25"/>
      <c r="B15" s="623" t="s">
        <v>702</v>
      </c>
      <c r="C15" s="623"/>
      <c r="D15" s="623"/>
      <c r="E15" s="73"/>
      <c r="F15" s="74"/>
      <c r="G15" s="2" t="s">
        <v>29</v>
      </c>
      <c r="J15" s="75"/>
      <c r="K15" s="623" t="s">
        <v>93</v>
      </c>
      <c r="L15" s="623"/>
      <c r="M15" s="623"/>
      <c r="N15" s="196"/>
      <c r="O15" s="74"/>
      <c r="P15" s="22" t="s">
        <v>20</v>
      </c>
      <c r="R15" s="43" t="s">
        <v>94</v>
      </c>
      <c r="S15" s="15"/>
      <c r="T15" s="28"/>
      <c r="U15" s="55" t="s">
        <v>81</v>
      </c>
      <c r="V15" s="24" t="s">
        <v>20</v>
      </c>
      <c r="W15" s="47"/>
      <c r="X15" s="43" t="s">
        <v>82</v>
      </c>
      <c r="Y15" s="44"/>
      <c r="Z15" s="43"/>
      <c r="AA15" s="47"/>
      <c r="AB15" s="45" t="s">
        <v>83</v>
      </c>
      <c r="AC15" s="45"/>
      <c r="AD15" s="12"/>
      <c r="AE15" s="47"/>
      <c r="AF15" s="43" t="s">
        <v>84</v>
      </c>
      <c r="AG15" s="46"/>
      <c r="AH15" s="13"/>
      <c r="AI15" s="47"/>
      <c r="AJ15" s="45" t="s">
        <v>85</v>
      </c>
      <c r="AK15" s="12"/>
      <c r="AL15" s="47"/>
      <c r="AM15" s="56" t="s">
        <v>86</v>
      </c>
      <c r="AN15" s="57"/>
      <c r="AO15" s="58"/>
      <c r="AP15" s="47"/>
      <c r="AQ15" s="59" t="s">
        <v>87</v>
      </c>
      <c r="AR15" s="14"/>
    </row>
    <row r="16" spans="1:125" ht="15.75" customHeight="1" x14ac:dyDescent="0.15">
      <c r="A16" s="25"/>
      <c r="B16" s="623" t="s">
        <v>722</v>
      </c>
      <c r="C16" s="623"/>
      <c r="D16" s="623"/>
      <c r="E16" s="74">
        <v>1</v>
      </c>
      <c r="F16" s="74"/>
      <c r="G16" s="2"/>
      <c r="J16" s="75"/>
      <c r="K16" s="623" t="s">
        <v>99</v>
      </c>
      <c r="L16" s="623"/>
      <c r="M16" s="623"/>
      <c r="N16" s="196"/>
      <c r="O16" s="74"/>
      <c r="P16" s="22" t="s">
        <v>20</v>
      </c>
      <c r="R16" s="43" t="s">
        <v>100</v>
      </c>
      <c r="S16" s="15"/>
      <c r="T16" s="28"/>
      <c r="U16" s="55" t="s">
        <v>91</v>
      </c>
      <c r="V16" s="24" t="s">
        <v>92</v>
      </c>
      <c r="W16" s="626"/>
      <c r="X16" s="626"/>
      <c r="Y16" s="70"/>
      <c r="Z16" s="71"/>
      <c r="AA16" s="72"/>
      <c r="AB16" s="45"/>
      <c r="AC16" s="45"/>
      <c r="AD16" s="12"/>
      <c r="AE16" s="626"/>
      <c r="AF16" s="626"/>
      <c r="AG16" s="46"/>
      <c r="AH16" s="13"/>
      <c r="AI16" s="72"/>
      <c r="AJ16" s="21"/>
      <c r="AK16" s="12"/>
      <c r="AL16" s="626"/>
      <c r="AM16" s="626"/>
      <c r="AN16" s="46"/>
      <c r="AO16" s="13"/>
      <c r="AP16" s="13"/>
      <c r="AQ16" s="21"/>
      <c r="AR16" s="14"/>
    </row>
    <row r="17" spans="1:44" ht="15.75" customHeight="1" x14ac:dyDescent="0.2">
      <c r="A17" s="25"/>
      <c r="B17" s="1" t="s">
        <v>772</v>
      </c>
      <c r="E17" s="625"/>
      <c r="F17" s="625"/>
      <c r="G17" s="625"/>
      <c r="J17" s="75"/>
      <c r="K17" s="623" t="s">
        <v>104</v>
      </c>
      <c r="L17" s="623"/>
      <c r="M17" s="623"/>
      <c r="N17" s="196"/>
      <c r="O17" s="74"/>
      <c r="P17" s="22" t="s">
        <v>20</v>
      </c>
      <c r="R17" s="43" t="s">
        <v>105</v>
      </c>
      <c r="S17" s="15"/>
      <c r="T17" s="28"/>
      <c r="U17" s="30" t="s">
        <v>95</v>
      </c>
      <c r="V17" s="24" t="s">
        <v>20</v>
      </c>
      <c r="W17" s="76"/>
      <c r="X17" s="2"/>
      <c r="Y17" s="77"/>
      <c r="Z17" s="2"/>
      <c r="AA17" s="47"/>
      <c r="AB17" s="45" t="s">
        <v>96</v>
      </c>
      <c r="AC17" s="45"/>
      <c r="AD17" s="12"/>
      <c r="AE17" s="76"/>
      <c r="AF17" s="43"/>
      <c r="AG17" s="46"/>
      <c r="AH17" s="13"/>
      <c r="AI17" s="78">
        <f>AA17</f>
        <v>0</v>
      </c>
      <c r="AJ17" s="45" t="s">
        <v>97</v>
      </c>
      <c r="AK17" s="12"/>
      <c r="AL17" s="2"/>
      <c r="AM17" s="43"/>
      <c r="AN17" s="46"/>
      <c r="AO17" s="13"/>
      <c r="AP17" s="47"/>
      <c r="AQ17" s="45" t="s">
        <v>98</v>
      </c>
      <c r="AR17" s="14"/>
    </row>
    <row r="18" spans="1:44" ht="15" customHeight="1" x14ac:dyDescent="0.2">
      <c r="A18" s="25"/>
      <c r="B18" s="623" t="s">
        <v>815</v>
      </c>
      <c r="C18" s="623"/>
      <c r="D18" s="623"/>
      <c r="E18" s="241"/>
      <c r="F18" s="87"/>
      <c r="G18" s="2" t="s">
        <v>113</v>
      </c>
      <c r="I18" s="22" t="s">
        <v>929</v>
      </c>
      <c r="J18" s="75"/>
      <c r="K18" s="623" t="s">
        <v>108</v>
      </c>
      <c r="L18" s="623"/>
      <c r="M18" s="623"/>
      <c r="N18" s="196"/>
      <c r="O18" s="74"/>
      <c r="P18" s="22" t="s">
        <v>20</v>
      </c>
      <c r="R18" s="43" t="s">
        <v>109</v>
      </c>
      <c r="S18" s="15"/>
      <c r="T18" s="28"/>
      <c r="U18" s="30" t="s">
        <v>791</v>
      </c>
      <c r="V18" s="24" t="s">
        <v>781</v>
      </c>
      <c r="W18" s="76"/>
      <c r="X18" s="2"/>
      <c r="Y18" s="77"/>
      <c r="Z18" s="2"/>
      <c r="AA18" s="398"/>
      <c r="AB18" s="45" t="s">
        <v>793</v>
      </c>
      <c r="AC18" s="45"/>
      <c r="AD18" s="12"/>
      <c r="AE18" s="76"/>
      <c r="AF18" s="43"/>
      <c r="AG18" s="46"/>
      <c r="AH18" s="13"/>
      <c r="AI18" s="398"/>
      <c r="AJ18" s="45" t="s">
        <v>796</v>
      </c>
      <c r="AK18" s="12"/>
      <c r="AL18" s="2"/>
      <c r="AM18" s="43"/>
      <c r="AN18" s="46"/>
      <c r="AO18" s="13"/>
      <c r="AP18" s="398"/>
      <c r="AQ18" s="45" t="s">
        <v>799</v>
      </c>
      <c r="AR18" s="14"/>
    </row>
    <row r="19" spans="1:44" ht="15" customHeight="1" x14ac:dyDescent="0.2">
      <c r="A19" s="25"/>
      <c r="B19" s="623" t="s">
        <v>101</v>
      </c>
      <c r="C19" s="623"/>
      <c r="D19" s="623"/>
      <c r="E19" s="83">
        <f>'General Information'!L21</f>
        <v>0</v>
      </c>
      <c r="F19" s="84"/>
      <c r="G19" s="2" t="s">
        <v>102</v>
      </c>
      <c r="I19" s="22" t="s">
        <v>103</v>
      </c>
      <c r="J19" s="75"/>
      <c r="K19" s="623" t="s">
        <v>114</v>
      </c>
      <c r="L19" s="623"/>
      <c r="M19" s="623"/>
      <c r="N19" s="196"/>
      <c r="O19" s="74"/>
      <c r="P19" s="22" t="s">
        <v>20</v>
      </c>
      <c r="R19" s="43" t="s">
        <v>115</v>
      </c>
      <c r="S19" s="15"/>
      <c r="T19" s="10"/>
      <c r="U19" s="251" t="s">
        <v>792</v>
      </c>
      <c r="V19" s="24" t="s">
        <v>781</v>
      </c>
      <c r="W19" s="76"/>
      <c r="X19" s="2"/>
      <c r="Y19" s="77"/>
      <c r="Z19" s="2">
        <v>10</v>
      </c>
      <c r="AA19" s="398"/>
      <c r="AB19" s="45" t="s">
        <v>794</v>
      </c>
      <c r="AC19" s="45"/>
      <c r="AD19" s="12"/>
      <c r="AE19" s="76"/>
      <c r="AF19" s="43"/>
      <c r="AG19" s="46"/>
      <c r="AH19" s="13"/>
      <c r="AI19" s="398"/>
      <c r="AJ19" s="45" t="s">
        <v>797</v>
      </c>
      <c r="AK19" s="12"/>
      <c r="AL19" s="2"/>
      <c r="AM19" s="43"/>
      <c r="AN19" s="46"/>
      <c r="AO19" s="13"/>
      <c r="AP19" s="398"/>
      <c r="AQ19" s="45" t="s">
        <v>800</v>
      </c>
      <c r="AR19" s="14"/>
    </row>
    <row r="20" spans="1:44" ht="15" customHeight="1" x14ac:dyDescent="0.2">
      <c r="A20" s="25"/>
      <c r="B20" s="623" t="s">
        <v>106</v>
      </c>
      <c r="C20" s="623"/>
      <c r="D20" s="623"/>
      <c r="E20" s="85">
        <f>'General Information'!L22</f>
        <v>0</v>
      </c>
      <c r="F20" s="84"/>
      <c r="G20" s="2" t="s">
        <v>102</v>
      </c>
      <c r="I20" s="22" t="s">
        <v>107</v>
      </c>
      <c r="J20" s="75"/>
      <c r="K20" s="623" t="s">
        <v>117</v>
      </c>
      <c r="L20" s="623"/>
      <c r="M20" s="623"/>
      <c r="N20" s="195">
        <f>'General Information'!C20</f>
        <v>0</v>
      </c>
      <c r="O20" s="74"/>
      <c r="P20" s="22" t="s">
        <v>29</v>
      </c>
      <c r="R20" s="43" t="s">
        <v>118</v>
      </c>
      <c r="S20" s="15"/>
      <c r="T20" s="10"/>
      <c r="U20" s="251" t="s">
        <v>789</v>
      </c>
      <c r="V20" s="24" t="s">
        <v>790</v>
      </c>
      <c r="W20" s="371"/>
      <c r="X20" s="372"/>
      <c r="Y20" s="374"/>
      <c r="Z20" s="372"/>
      <c r="AA20" s="399"/>
      <c r="AB20" s="45" t="s">
        <v>795</v>
      </c>
      <c r="AC20" s="45"/>
      <c r="AD20" s="82"/>
      <c r="AE20" s="371"/>
      <c r="AF20" s="372"/>
      <c r="AG20" s="383"/>
      <c r="AH20" s="369"/>
      <c r="AI20" s="399"/>
      <c r="AJ20" s="45" t="s">
        <v>798</v>
      </c>
      <c r="AK20" s="82"/>
      <c r="AL20" s="371"/>
      <c r="AM20" s="372"/>
      <c r="AN20" s="383"/>
      <c r="AO20" s="369"/>
      <c r="AP20" s="399"/>
      <c r="AQ20" s="45" t="s">
        <v>801</v>
      </c>
      <c r="AR20" s="14"/>
    </row>
    <row r="21" spans="1:44" ht="15" customHeight="1" x14ac:dyDescent="0.2">
      <c r="A21" s="25"/>
      <c r="B21" s="627" t="s">
        <v>783</v>
      </c>
      <c r="C21" s="627"/>
      <c r="D21" s="627"/>
      <c r="F21" s="87"/>
      <c r="I21" s="1"/>
      <c r="J21" s="75"/>
      <c r="K21" s="96" t="s">
        <v>780</v>
      </c>
      <c r="L21" s="43"/>
      <c r="M21" s="43"/>
      <c r="N21" s="454"/>
      <c r="O21" s="43"/>
      <c r="P21" s="43" t="s">
        <v>781</v>
      </c>
      <c r="Q21" s="43"/>
      <c r="R21" s="43" t="s">
        <v>786</v>
      </c>
      <c r="S21" s="15"/>
      <c r="T21" s="10"/>
      <c r="U21" s="436" t="s">
        <v>943</v>
      </c>
      <c r="V21" s="437" t="s">
        <v>29</v>
      </c>
      <c r="W21" s="373"/>
      <c r="X21" s="372"/>
      <c r="Y21" s="372"/>
      <c r="Z21" s="438"/>
      <c r="AA21" s="458"/>
      <c r="AB21" s="439" t="s">
        <v>944</v>
      </c>
      <c r="AC21" s="45"/>
      <c r="AD21" s="82"/>
      <c r="AE21" s="440"/>
      <c r="AF21" s="372"/>
      <c r="AG21" s="372"/>
      <c r="AH21" s="441"/>
      <c r="AI21" s="458"/>
      <c r="AJ21" s="439" t="s">
        <v>945</v>
      </c>
      <c r="AK21" s="369"/>
      <c r="AL21" s="440"/>
      <c r="AM21" s="372"/>
      <c r="AN21" s="374"/>
      <c r="AO21" s="372"/>
      <c r="AP21" s="458"/>
      <c r="AQ21" s="439" t="s">
        <v>946</v>
      </c>
      <c r="AR21" s="14"/>
    </row>
    <row r="22" spans="1:44" ht="15" customHeight="1" x14ac:dyDescent="0.15">
      <c r="A22" s="25"/>
      <c r="B22" s="250" t="s">
        <v>782</v>
      </c>
      <c r="C22" s="243"/>
      <c r="D22" s="243"/>
      <c r="E22" s="83">
        <f>E20*(1-E18)-(E18*((N20-E15)*4.2+2260))</f>
        <v>0</v>
      </c>
      <c r="F22" s="87"/>
      <c r="G22" s="2" t="s">
        <v>102</v>
      </c>
      <c r="I22" s="22" t="s">
        <v>928</v>
      </c>
      <c r="J22" s="75"/>
      <c r="K22" s="96"/>
      <c r="L22" s="43"/>
      <c r="M22" s="244" t="s">
        <v>784</v>
      </c>
      <c r="N22" s="454"/>
      <c r="O22" s="43"/>
      <c r="P22" s="43" t="s">
        <v>781</v>
      </c>
      <c r="Q22" s="43"/>
      <c r="R22" s="43" t="s">
        <v>787</v>
      </c>
      <c r="S22" s="15"/>
      <c r="T22" s="10"/>
      <c r="U22" s="251" t="s">
        <v>954</v>
      </c>
      <c r="V22" s="24" t="s">
        <v>20</v>
      </c>
      <c r="W22" s="76"/>
      <c r="X22" s="2"/>
      <c r="Y22" s="77"/>
      <c r="Z22" s="2"/>
      <c r="AA22" s="398"/>
      <c r="AB22" s="389" t="s">
        <v>914</v>
      </c>
      <c r="AC22" s="45"/>
      <c r="AD22" s="12"/>
      <c r="AE22" s="76"/>
      <c r="AF22" s="43"/>
      <c r="AG22" s="46"/>
      <c r="AH22" s="13"/>
      <c r="AI22" s="398"/>
      <c r="AJ22" s="451" t="s">
        <v>968</v>
      </c>
      <c r="AK22" s="21"/>
      <c r="AL22" s="2"/>
      <c r="AM22" s="43"/>
      <c r="AN22" s="46"/>
      <c r="AO22" s="13"/>
      <c r="AP22" s="398"/>
      <c r="AQ22" s="391" t="s">
        <v>916</v>
      </c>
      <c r="AR22" s="14"/>
    </row>
    <row r="23" spans="1:44" ht="15" customHeight="1" x14ac:dyDescent="0.15">
      <c r="A23" s="25"/>
      <c r="B23" s="622" t="s">
        <v>736</v>
      </c>
      <c r="C23" s="622"/>
      <c r="D23" s="622"/>
      <c r="E23" s="83">
        <f>'General Information'!L11</f>
        <v>0</v>
      </c>
      <c r="F23" s="2"/>
      <c r="G23" s="2" t="s">
        <v>102</v>
      </c>
      <c r="J23" s="75"/>
      <c r="K23" s="96"/>
      <c r="L23" s="43"/>
      <c r="M23" s="244" t="s">
        <v>785</v>
      </c>
      <c r="N23" s="454"/>
      <c r="O23" s="43"/>
      <c r="P23" s="43" t="s">
        <v>790</v>
      </c>
      <c r="Q23" s="43"/>
      <c r="R23" s="43" t="s">
        <v>788</v>
      </c>
      <c r="S23" s="15"/>
      <c r="T23" s="10"/>
      <c r="U23" s="251" t="s">
        <v>955</v>
      </c>
      <c r="V23" s="24" t="s">
        <v>20</v>
      </c>
      <c r="W23" s="76"/>
      <c r="X23" s="2"/>
      <c r="Y23" s="77"/>
      <c r="Z23" s="2">
        <v>10</v>
      </c>
      <c r="AA23" s="398"/>
      <c r="AB23" s="390" t="s">
        <v>911</v>
      </c>
      <c r="AC23" s="45"/>
      <c r="AD23" s="12"/>
      <c r="AE23" s="76"/>
      <c r="AF23" s="43"/>
      <c r="AG23" s="46"/>
      <c r="AH23" s="13"/>
      <c r="AI23" s="398"/>
      <c r="AJ23" s="358" t="s">
        <v>912</v>
      </c>
      <c r="AK23" s="12"/>
      <c r="AL23" s="2"/>
      <c r="AM23" s="43"/>
      <c r="AN23" s="46"/>
      <c r="AO23" s="13"/>
      <c r="AP23" s="398"/>
      <c r="AQ23" s="391" t="s">
        <v>913</v>
      </c>
      <c r="AR23" s="14"/>
    </row>
    <row r="24" spans="1:44" ht="15.75" customHeight="1" thickBot="1" x14ac:dyDescent="0.2">
      <c r="A24" s="25"/>
      <c r="D24" s="97"/>
      <c r="E24" s="98"/>
      <c r="F24" s="2"/>
      <c r="G24" s="2"/>
      <c r="K24" s="96"/>
      <c r="L24" s="43"/>
      <c r="M24" s="43"/>
      <c r="N24" s="43"/>
      <c r="O24" s="43"/>
      <c r="P24" s="43"/>
      <c r="Q24" s="43"/>
      <c r="R24" s="43"/>
      <c r="S24" s="15"/>
      <c r="T24" s="10"/>
      <c r="U24" s="442" t="s">
        <v>956</v>
      </c>
      <c r="V24" s="37" t="s">
        <v>20</v>
      </c>
      <c r="W24" s="79"/>
      <c r="X24" s="80"/>
      <c r="Y24" s="81"/>
      <c r="Z24" s="80"/>
      <c r="AA24" s="443"/>
      <c r="AB24" s="444" t="s">
        <v>908</v>
      </c>
      <c r="AC24" s="445"/>
      <c r="AD24" s="446"/>
      <c r="AE24" s="79"/>
      <c r="AF24" s="80"/>
      <c r="AG24" s="447"/>
      <c r="AH24" s="448"/>
      <c r="AI24" s="443"/>
      <c r="AJ24" s="449" t="s">
        <v>909</v>
      </c>
      <c r="AK24" s="446"/>
      <c r="AL24" s="79"/>
      <c r="AM24" s="80"/>
      <c r="AN24" s="447"/>
      <c r="AO24" s="448"/>
      <c r="AP24" s="443"/>
      <c r="AQ24" s="450" t="s">
        <v>910</v>
      </c>
      <c r="AR24" s="14"/>
    </row>
    <row r="25" spans="1:44" ht="15.75" customHeight="1" thickBot="1" x14ac:dyDescent="0.2">
      <c r="A25" s="25"/>
      <c r="B25" s="99" t="s">
        <v>737</v>
      </c>
      <c r="C25" s="100"/>
      <c r="D25" s="101"/>
      <c r="E25" s="646"/>
      <c r="F25" s="646"/>
      <c r="G25" s="646"/>
      <c r="H25" s="646"/>
      <c r="I25" s="646"/>
      <c r="J25" s="646"/>
      <c r="K25" s="646"/>
      <c r="L25" s="646"/>
      <c r="M25" s="646"/>
      <c r="N25" s="646"/>
      <c r="O25" s="646"/>
      <c r="P25" s="646"/>
      <c r="Q25" s="646"/>
      <c r="R25" s="647"/>
      <c r="S25" s="15"/>
      <c r="T25" s="10"/>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14"/>
    </row>
    <row r="26" spans="1:44" ht="15.75" customHeight="1" x14ac:dyDescent="0.15">
      <c r="A26" s="25"/>
      <c r="B26" s="616"/>
      <c r="C26" s="617"/>
      <c r="D26" s="617"/>
      <c r="E26" s="617"/>
      <c r="F26" s="617"/>
      <c r="G26" s="617"/>
      <c r="H26" s="617"/>
      <c r="I26" s="617"/>
      <c r="J26" s="617"/>
      <c r="K26" s="617"/>
      <c r="L26" s="617"/>
      <c r="M26" s="617"/>
      <c r="N26" s="617"/>
      <c r="O26" s="617"/>
      <c r="P26" s="617"/>
      <c r="Q26" s="617"/>
      <c r="R26" s="618"/>
      <c r="S26" s="15"/>
      <c r="T26" s="10"/>
      <c r="U26" s="377"/>
      <c r="V26" s="13"/>
      <c r="W26" s="86" t="s">
        <v>110</v>
      </c>
      <c r="X26" s="13"/>
      <c r="Y26" s="23"/>
      <c r="Z26" s="13"/>
      <c r="AA26" s="86" t="s">
        <v>111</v>
      </c>
      <c r="AB26" s="13"/>
      <c r="AC26" s="13"/>
      <c r="AD26" s="21"/>
      <c r="AE26" s="118" t="s">
        <v>964</v>
      </c>
      <c r="AF26" s="13"/>
      <c r="AG26" s="13"/>
      <c r="AH26" s="13"/>
      <c r="AI26" s="13"/>
      <c r="AJ26" s="13"/>
      <c r="AK26" s="13"/>
      <c r="AL26" s="13"/>
      <c r="AM26" s="13"/>
      <c r="AN26" s="13"/>
      <c r="AO26" s="13"/>
      <c r="AP26" s="13"/>
      <c r="AQ26" s="13"/>
      <c r="AR26" s="385"/>
    </row>
    <row r="27" spans="1:44" ht="15.75" customHeight="1" x14ac:dyDescent="0.15">
      <c r="A27" s="25"/>
      <c r="B27" s="616"/>
      <c r="C27" s="617"/>
      <c r="D27" s="617"/>
      <c r="E27" s="617"/>
      <c r="F27" s="617"/>
      <c r="G27" s="617"/>
      <c r="H27" s="617"/>
      <c r="I27" s="617"/>
      <c r="J27" s="617"/>
      <c r="K27" s="617"/>
      <c r="L27" s="617"/>
      <c r="M27" s="617"/>
      <c r="N27" s="617"/>
      <c r="O27" s="617"/>
      <c r="P27" s="617"/>
      <c r="Q27" s="617"/>
      <c r="R27" s="618"/>
      <c r="S27" s="15"/>
      <c r="T27" s="10"/>
      <c r="U27" s="378" t="s">
        <v>116</v>
      </c>
      <c r="V27" s="89" t="s">
        <v>9</v>
      </c>
      <c r="W27" s="89" t="s">
        <v>10</v>
      </c>
      <c r="X27" s="89" t="s">
        <v>11</v>
      </c>
      <c r="Y27" s="46"/>
      <c r="Z27" s="13"/>
      <c r="AA27" s="89" t="s">
        <v>10</v>
      </c>
      <c r="AB27" s="89" t="s">
        <v>11</v>
      </c>
      <c r="AC27" s="89"/>
      <c r="AD27" s="21"/>
      <c r="AE27" s="90" t="s">
        <v>116</v>
      </c>
      <c r="AF27" s="13"/>
      <c r="AG27" s="13"/>
      <c r="AH27" s="13"/>
      <c r="AI27" s="13"/>
      <c r="AJ27" s="13"/>
      <c r="AK27" s="13"/>
      <c r="AL27" s="13"/>
      <c r="AM27" s="89" t="s">
        <v>9</v>
      </c>
      <c r="AN27" s="13"/>
      <c r="AO27" s="13"/>
      <c r="AP27" s="89" t="s">
        <v>10</v>
      </c>
      <c r="AQ27" s="89" t="s">
        <v>11</v>
      </c>
      <c r="AR27" s="14"/>
    </row>
    <row r="28" spans="1:44" ht="15.75" customHeight="1" x14ac:dyDescent="0.2">
      <c r="A28" s="25"/>
      <c r="B28" s="616"/>
      <c r="C28" s="617"/>
      <c r="D28" s="617"/>
      <c r="E28" s="617"/>
      <c r="F28" s="617"/>
      <c r="G28" s="617"/>
      <c r="H28" s="617"/>
      <c r="I28" s="617"/>
      <c r="J28" s="617"/>
      <c r="K28" s="617"/>
      <c r="L28" s="617"/>
      <c r="M28" s="617"/>
      <c r="N28" s="617"/>
      <c r="O28" s="617"/>
      <c r="P28" s="617"/>
      <c r="Q28" s="617"/>
      <c r="R28" s="618"/>
      <c r="S28" s="15"/>
      <c r="T28" s="10"/>
      <c r="U28" s="379" t="s">
        <v>874</v>
      </c>
      <c r="V28" s="92" t="s">
        <v>20</v>
      </c>
      <c r="W28" s="93">
        <f>W7-AA7</f>
        <v>0</v>
      </c>
      <c r="X28" s="56" t="s">
        <v>119</v>
      </c>
      <c r="Y28" s="57"/>
      <c r="Z28" s="61"/>
      <c r="AA28" s="93">
        <f>AE7-AI7</f>
        <v>0</v>
      </c>
      <c r="AB28" s="56" t="s">
        <v>120</v>
      </c>
      <c r="AC28" s="56"/>
      <c r="AD28" s="21"/>
      <c r="AE28" s="95" t="s">
        <v>876</v>
      </c>
      <c r="AF28" s="61"/>
      <c r="AG28" s="61"/>
      <c r="AH28" s="61"/>
      <c r="AI28" s="61"/>
      <c r="AJ28" s="61"/>
      <c r="AK28" s="61"/>
      <c r="AL28" s="61"/>
      <c r="AM28" s="92" t="s">
        <v>20</v>
      </c>
      <c r="AN28" s="61"/>
      <c r="AO28" s="61"/>
      <c r="AP28" s="93">
        <f>AL7-AP7</f>
        <v>0</v>
      </c>
      <c r="AQ28" s="56" t="s">
        <v>121</v>
      </c>
      <c r="AR28" s="14"/>
    </row>
    <row r="29" spans="1:44" ht="15.75" customHeight="1" x14ac:dyDescent="0.2">
      <c r="A29" s="25"/>
      <c r="B29" s="616"/>
      <c r="C29" s="617"/>
      <c r="D29" s="617"/>
      <c r="E29" s="617"/>
      <c r="F29" s="617"/>
      <c r="G29" s="617"/>
      <c r="H29" s="617"/>
      <c r="I29" s="617"/>
      <c r="J29" s="617"/>
      <c r="K29" s="617"/>
      <c r="L29" s="617"/>
      <c r="M29" s="617"/>
      <c r="N29" s="617"/>
      <c r="O29" s="617"/>
      <c r="P29" s="617"/>
      <c r="Q29" s="617"/>
      <c r="R29" s="618"/>
      <c r="S29" s="15"/>
      <c r="T29" s="10"/>
      <c r="U29" s="379" t="s">
        <v>122</v>
      </c>
      <c r="V29" s="92" t="s">
        <v>20</v>
      </c>
      <c r="W29" s="93">
        <f>AA17-$N$19</f>
        <v>0</v>
      </c>
      <c r="X29" s="56" t="s">
        <v>123</v>
      </c>
      <c r="Y29" s="57"/>
      <c r="Z29" s="61"/>
      <c r="AA29" s="93">
        <f>IF(AA28=0,0,AI17-$N$19)</f>
        <v>0</v>
      </c>
      <c r="AB29" s="56" t="s">
        <v>124</v>
      </c>
      <c r="AC29" s="56"/>
      <c r="AD29" s="94"/>
      <c r="AE29" s="95" t="s">
        <v>125</v>
      </c>
      <c r="AF29" s="61"/>
      <c r="AG29" s="61"/>
      <c r="AH29" s="61"/>
      <c r="AI29" s="61"/>
      <c r="AJ29" s="61"/>
      <c r="AK29" s="61"/>
      <c r="AL29" s="61"/>
      <c r="AM29" s="92" t="s">
        <v>20</v>
      </c>
      <c r="AN29" s="61"/>
      <c r="AO29" s="61"/>
      <c r="AP29" s="93">
        <f>(AP17-$N$19)-W29</f>
        <v>0</v>
      </c>
      <c r="AQ29" s="56" t="s">
        <v>126</v>
      </c>
      <c r="AR29" s="14"/>
    </row>
    <row r="30" spans="1:44" ht="15.75" customHeight="1" x14ac:dyDescent="0.2">
      <c r="A30" s="25"/>
      <c r="B30" s="616"/>
      <c r="C30" s="617"/>
      <c r="D30" s="617"/>
      <c r="E30" s="617"/>
      <c r="F30" s="617"/>
      <c r="G30" s="617"/>
      <c r="H30" s="617"/>
      <c r="I30" s="617"/>
      <c r="J30" s="617"/>
      <c r="K30" s="617"/>
      <c r="L30" s="617"/>
      <c r="M30" s="617"/>
      <c r="N30" s="617"/>
      <c r="O30" s="617"/>
      <c r="P30" s="617"/>
      <c r="Q30" s="617"/>
      <c r="R30" s="618"/>
      <c r="S30" s="15"/>
      <c r="T30" s="10"/>
      <c r="U30" s="379" t="s">
        <v>875</v>
      </c>
      <c r="V30" s="92" t="s">
        <v>20</v>
      </c>
      <c r="W30" s="327" t="e">
        <f>(W28*($E$20*(1-$E$18)-$E$18*(4.186*($N$20-$E$15)+2257))-W29*$E23)/$E$20</f>
        <v>#DIV/0!</v>
      </c>
      <c r="X30" s="328" t="s">
        <v>127</v>
      </c>
      <c r="Y30" s="329"/>
      <c r="Z30" s="330"/>
      <c r="AA30" s="327">
        <f>IF(AA28=0,0,(AA28*($E$20*(1-$E$18)-$E$18*(4.186*($N$20-$E$15)+2257))-AA29*$E23)/$E$20)</f>
        <v>0</v>
      </c>
      <c r="AB30" s="328" t="s">
        <v>128</v>
      </c>
      <c r="AC30" s="328"/>
      <c r="AD30" s="331"/>
      <c r="AE30" s="332" t="s">
        <v>875</v>
      </c>
      <c r="AF30" s="330"/>
      <c r="AG30" s="330"/>
      <c r="AH30" s="330"/>
      <c r="AI30" s="330"/>
      <c r="AJ30" s="330"/>
      <c r="AK30" s="330"/>
      <c r="AL30" s="330"/>
      <c r="AM30" s="333" t="s">
        <v>20</v>
      </c>
      <c r="AN30" s="330"/>
      <c r="AO30" s="330"/>
      <c r="AP30" s="327" t="e">
        <f>(AP28*($E$20*(1-$E$18)-$E$18*(4.186*($N$20-$E$15)+2257))-AP29*$E23)/$E$20</f>
        <v>#DIV/0!</v>
      </c>
      <c r="AQ30" s="56" t="s">
        <v>129</v>
      </c>
      <c r="AR30" s="14"/>
    </row>
    <row r="31" spans="1:44" ht="15.75" customHeight="1" x14ac:dyDescent="0.2">
      <c r="A31" s="25"/>
      <c r="B31" s="616"/>
      <c r="C31" s="617"/>
      <c r="D31" s="617"/>
      <c r="E31" s="617"/>
      <c r="F31" s="617"/>
      <c r="G31" s="617"/>
      <c r="H31" s="617"/>
      <c r="I31" s="617"/>
      <c r="J31" s="617"/>
      <c r="K31" s="617"/>
      <c r="L31" s="617"/>
      <c r="M31" s="617"/>
      <c r="N31" s="617"/>
      <c r="O31" s="617"/>
      <c r="P31" s="617"/>
      <c r="Q31" s="617"/>
      <c r="R31" s="618"/>
      <c r="S31" s="15"/>
      <c r="T31" s="10"/>
      <c r="U31" s="379" t="s">
        <v>130</v>
      </c>
      <c r="V31" s="92" t="s">
        <v>20</v>
      </c>
      <c r="W31" s="93">
        <f>SUM(W12:W15)-SUM(AA12:AA15)</f>
        <v>0</v>
      </c>
      <c r="X31" s="56" t="s">
        <v>131</v>
      </c>
      <c r="Y31" s="57"/>
      <c r="Z31" s="61"/>
      <c r="AA31" s="93">
        <f>SUM(AE12:AE15)-SUM(AI12:AI15)</f>
        <v>0</v>
      </c>
      <c r="AB31" s="56" t="s">
        <v>132</v>
      </c>
      <c r="AC31" s="56"/>
      <c r="AD31" s="94"/>
      <c r="AE31" s="95" t="s">
        <v>133</v>
      </c>
      <c r="AF31" s="61"/>
      <c r="AG31" s="61"/>
      <c r="AH31" s="61"/>
      <c r="AI31" s="61"/>
      <c r="AJ31" s="61"/>
      <c r="AK31" s="61"/>
      <c r="AL31" s="61"/>
      <c r="AM31" s="92" t="s">
        <v>20</v>
      </c>
      <c r="AN31" s="61"/>
      <c r="AO31" s="61"/>
      <c r="AP31" s="93">
        <f>(AL12-AP12)+(AL13-AP13)+(AL14-AP14)+(AL15-AP15)</f>
        <v>0</v>
      </c>
      <c r="AQ31" s="56" t="s">
        <v>134</v>
      </c>
      <c r="AR31" s="14"/>
    </row>
    <row r="32" spans="1:44" ht="15.75" customHeight="1" x14ac:dyDescent="0.2">
      <c r="A32" s="25"/>
      <c r="B32" s="616"/>
      <c r="C32" s="617"/>
      <c r="D32" s="617"/>
      <c r="E32" s="617"/>
      <c r="F32" s="617"/>
      <c r="G32" s="617"/>
      <c r="H32" s="617"/>
      <c r="I32" s="617"/>
      <c r="J32" s="617"/>
      <c r="K32" s="617"/>
      <c r="L32" s="617"/>
      <c r="M32" s="617"/>
      <c r="N32" s="617"/>
      <c r="O32" s="617"/>
      <c r="P32" s="617"/>
      <c r="Q32" s="617"/>
      <c r="R32" s="618"/>
      <c r="S32" s="15"/>
      <c r="T32" s="10"/>
      <c r="U32" s="379" t="s">
        <v>135</v>
      </c>
      <c r="V32" s="92" t="s">
        <v>20</v>
      </c>
      <c r="W32" s="93" t="e">
        <f>((AA12-$N15)*(AA8-W8)/($N$20-W8)+(AA13-$N16)*(AA9-W9)/($N$20-W9)+(AA14-$N17)*(AA10-W10)/($N$20-W10)+(AA15-$N18)*(AA11-W11)/($N$20-W11))</f>
        <v>#DIV/0!</v>
      </c>
      <c r="X32" s="56" t="s">
        <v>136</v>
      </c>
      <c r="Y32" s="57"/>
      <c r="Z32" s="61"/>
      <c r="AA32" s="93" t="e">
        <f>((AI12-$N15)*(AI8-AE8)/($N$20-AE8)+(AI13-$N16)*(AI9-AE9)/($N$20-AE9)+(AI14-$N17)*(AI10-AE10)/($N$20-AE10)+(AI15-$N18)*(AI11-AE11)/($N$20-AE11))</f>
        <v>#DIV/0!</v>
      </c>
      <c r="AB32" s="56" t="s">
        <v>137</v>
      </c>
      <c r="AC32" s="56"/>
      <c r="AD32" s="94"/>
      <c r="AE32" s="95" t="s">
        <v>138</v>
      </c>
      <c r="AF32" s="61"/>
      <c r="AG32" s="61"/>
      <c r="AH32" s="61"/>
      <c r="AI32" s="61"/>
      <c r="AJ32" s="61"/>
      <c r="AK32" s="61"/>
      <c r="AL32" s="61"/>
      <c r="AM32" s="92" t="s">
        <v>20</v>
      </c>
      <c r="AN32" s="61"/>
      <c r="AO32" s="61"/>
      <c r="AP32" s="93">
        <f>(AP12-$N$15+((AP9-25)/(N20-25))*(AP13-N16)+((AP10-25)/(N20-25))*(AP14-N17)+((AP11-25)/(N20-25))*(AP15-N18))</f>
        <v>0</v>
      </c>
      <c r="AQ32" s="56" t="s">
        <v>139</v>
      </c>
      <c r="AR32" s="14"/>
    </row>
    <row r="33" spans="1:122" ht="15.75" customHeight="1" x14ac:dyDescent="0.2">
      <c r="A33" s="25"/>
      <c r="B33" s="616"/>
      <c r="C33" s="617"/>
      <c r="D33" s="617"/>
      <c r="E33" s="617"/>
      <c r="F33" s="617"/>
      <c r="G33" s="617"/>
      <c r="H33" s="617"/>
      <c r="I33" s="617"/>
      <c r="J33" s="617"/>
      <c r="K33" s="617"/>
      <c r="L33" s="617"/>
      <c r="M33" s="617"/>
      <c r="N33" s="617"/>
      <c r="O33" s="617"/>
      <c r="P33" s="617"/>
      <c r="Q33" s="617"/>
      <c r="R33" s="618"/>
      <c r="S33" s="15"/>
      <c r="T33" s="10"/>
      <c r="U33" s="379" t="s">
        <v>140</v>
      </c>
      <c r="V33" s="92" t="s">
        <v>141</v>
      </c>
      <c r="W33" s="93">
        <f>(AA6-W6)*1440</f>
        <v>0</v>
      </c>
      <c r="X33" s="56" t="s">
        <v>142</v>
      </c>
      <c r="Y33" s="57"/>
      <c r="Z33" s="61"/>
      <c r="AA33" s="93">
        <f>(AI6-AE6)*1440</f>
        <v>0</v>
      </c>
      <c r="AB33" s="56" t="s">
        <v>143</v>
      </c>
      <c r="AC33" s="56"/>
      <c r="AD33" s="94"/>
      <c r="AE33" s="95" t="s">
        <v>144</v>
      </c>
      <c r="AF33" s="61"/>
      <c r="AG33" s="61"/>
      <c r="AH33" s="61"/>
      <c r="AI33" s="61"/>
      <c r="AJ33" s="61"/>
      <c r="AK33" s="61"/>
      <c r="AL33" s="61"/>
      <c r="AM33" s="92" t="s">
        <v>141</v>
      </c>
      <c r="AN33" s="61"/>
      <c r="AO33" s="61"/>
      <c r="AP33" s="93">
        <f>(AP6-AL6)*1440</f>
        <v>0</v>
      </c>
      <c r="AQ33" s="56" t="s">
        <v>145</v>
      </c>
      <c r="AR33" s="14"/>
    </row>
    <row r="34" spans="1:122" ht="15.75" customHeight="1" x14ac:dyDescent="0.2">
      <c r="A34" s="25"/>
      <c r="B34" s="616"/>
      <c r="C34" s="617"/>
      <c r="D34" s="617"/>
      <c r="E34" s="617"/>
      <c r="F34" s="617"/>
      <c r="G34" s="617"/>
      <c r="H34" s="617"/>
      <c r="I34" s="617"/>
      <c r="J34" s="617"/>
      <c r="K34" s="617"/>
      <c r="L34" s="617"/>
      <c r="M34" s="617"/>
      <c r="N34" s="617"/>
      <c r="O34" s="617"/>
      <c r="P34" s="617"/>
      <c r="Q34" s="617"/>
      <c r="R34" s="618"/>
      <c r="S34" s="15"/>
      <c r="T34" s="10"/>
      <c r="U34" s="379" t="s">
        <v>146</v>
      </c>
      <c r="V34" s="92" t="s">
        <v>141</v>
      </c>
      <c r="W34" s="327" t="e">
        <f>W33*75/(N20-W8)</f>
        <v>#DIV/0!</v>
      </c>
      <c r="X34" s="56" t="s">
        <v>147</v>
      </c>
      <c r="Y34" s="57"/>
      <c r="Z34" s="61"/>
      <c r="AA34" s="327" t="e">
        <f>AA33*75/(N20-AE8)</f>
        <v>#DIV/0!</v>
      </c>
      <c r="AB34" s="56" t="s">
        <v>148</v>
      </c>
      <c r="AC34" s="56"/>
      <c r="AD34" s="94"/>
      <c r="AE34" s="95" t="s">
        <v>149</v>
      </c>
      <c r="AF34" s="61"/>
      <c r="AG34" s="61"/>
      <c r="AH34" s="61"/>
      <c r="AI34" s="61"/>
      <c r="AJ34" s="61"/>
      <c r="AK34" s="61"/>
      <c r="AL34" s="61"/>
      <c r="AM34" s="92" t="s">
        <v>113</v>
      </c>
      <c r="AN34" s="61"/>
      <c r="AO34" s="61"/>
      <c r="AP34" s="434" t="e">
        <f>(4.186*((AL12-$N15+AP32)/2)*(AP8-AL8)+2260*AP31)/(AP30*$E$20)</f>
        <v>#DIV/0!</v>
      </c>
      <c r="AQ34" s="56" t="s">
        <v>150</v>
      </c>
      <c r="AR34" s="14"/>
    </row>
    <row r="35" spans="1:122" ht="15.75" customHeight="1" x14ac:dyDescent="0.2">
      <c r="A35" s="25"/>
      <c r="B35" s="613"/>
      <c r="C35" s="614"/>
      <c r="D35" s="614"/>
      <c r="E35" s="614"/>
      <c r="F35" s="614"/>
      <c r="G35" s="614"/>
      <c r="H35" s="614"/>
      <c r="I35" s="614"/>
      <c r="J35" s="614"/>
      <c r="K35" s="614"/>
      <c r="L35" s="614"/>
      <c r="M35" s="614"/>
      <c r="N35" s="614"/>
      <c r="O35" s="614"/>
      <c r="P35" s="614"/>
      <c r="Q35" s="614"/>
      <c r="R35" s="615"/>
      <c r="S35" s="15"/>
      <c r="T35" s="10"/>
      <c r="U35" s="379" t="s">
        <v>149</v>
      </c>
      <c r="V35" s="92" t="s">
        <v>113</v>
      </c>
      <c r="W35" s="434" t="e">
        <f>(4.186*SUM((W12-$N15)*(AA8-W8),(W13-$N16)*(AA9-W9),(W14-$N17)*(AA10-W10),(W15-$N18)*(AA11-W11))+2260*W31)/(W30*$E20)</f>
        <v>#DIV/0!</v>
      </c>
      <c r="X35" s="56" t="s">
        <v>151</v>
      </c>
      <c r="Y35" s="57"/>
      <c r="Z35" s="61"/>
      <c r="AA35" s="434" t="e">
        <f>(4.186*SUM((AE12-$N15)*(AI8-AE8),(AE13-$N16)*(AI9-AE9),(AE14-$N17)*(AI10-AE10),(AE15-$N18)*(AI11-AE11))+2260*AA31)/(AA30*$E20)</f>
        <v>#DIV/0!</v>
      </c>
      <c r="AB35" s="56" t="s">
        <v>152</v>
      </c>
      <c r="AC35" s="56"/>
      <c r="AD35" s="94"/>
      <c r="AE35" s="95" t="s">
        <v>153</v>
      </c>
      <c r="AF35" s="61"/>
      <c r="AG35" s="61"/>
      <c r="AH35" s="61"/>
      <c r="AI35" s="61"/>
      <c r="AJ35" s="61"/>
      <c r="AK35" s="61"/>
      <c r="AL35" s="61"/>
      <c r="AM35" s="92" t="s">
        <v>154</v>
      </c>
      <c r="AN35" s="61"/>
      <c r="AO35" s="61"/>
      <c r="AP35" s="421" t="e">
        <f>AP30/AP33</f>
        <v>#DIV/0!</v>
      </c>
      <c r="AQ35" s="56" t="s">
        <v>155</v>
      </c>
      <c r="AR35" s="14"/>
    </row>
    <row r="36" spans="1:122" ht="15.75" customHeight="1" thickBot="1" x14ac:dyDescent="0.25">
      <c r="A36" s="25"/>
      <c r="B36" s="110" t="s">
        <v>184</v>
      </c>
      <c r="C36" s="110"/>
      <c r="D36" s="110"/>
      <c r="E36" s="110"/>
      <c r="F36" s="110"/>
      <c r="G36" s="110"/>
      <c r="H36" s="110"/>
      <c r="I36" s="110"/>
      <c r="J36" s="110"/>
      <c r="K36" s="110"/>
      <c r="L36" s="110"/>
      <c r="M36" s="110"/>
      <c r="N36" s="110"/>
      <c r="O36" s="111"/>
      <c r="P36" s="111"/>
      <c r="Q36" s="111"/>
      <c r="R36" s="111"/>
      <c r="S36" s="15"/>
      <c r="T36" s="10"/>
      <c r="U36" s="379" t="s">
        <v>153</v>
      </c>
      <c r="V36" s="92" t="s">
        <v>154</v>
      </c>
      <c r="W36" s="421" t="e">
        <f>W30/W33</f>
        <v>#DIV/0!</v>
      </c>
      <c r="X36" s="92" t="s">
        <v>156</v>
      </c>
      <c r="Y36" s="57"/>
      <c r="Z36" s="61"/>
      <c r="AA36" s="421" t="e">
        <f>AA30/AA33</f>
        <v>#DIV/0!</v>
      </c>
      <c r="AB36" s="56" t="s">
        <v>157</v>
      </c>
      <c r="AC36" s="56"/>
      <c r="AD36" s="94"/>
      <c r="AE36" s="95" t="s">
        <v>158</v>
      </c>
      <c r="AF36" s="61"/>
      <c r="AG36" s="61"/>
      <c r="AH36" s="61"/>
      <c r="AI36" s="61"/>
      <c r="AJ36" s="61"/>
      <c r="AK36" s="61"/>
      <c r="AL36" s="61"/>
      <c r="AM36" s="92" t="s">
        <v>844</v>
      </c>
      <c r="AN36" s="61"/>
      <c r="AO36" s="61"/>
      <c r="AP36" s="421" t="e">
        <f>AP30/AP32*1000</f>
        <v>#DIV/0!</v>
      </c>
      <c r="AQ36" s="56" t="s">
        <v>160</v>
      </c>
      <c r="AR36" s="14"/>
    </row>
    <row r="37" spans="1:122" ht="13.5" customHeight="1" thickTop="1" thickBot="1" x14ac:dyDescent="0.25">
      <c r="A37" s="109"/>
      <c r="B37" s="249"/>
      <c r="C37" s="249"/>
      <c r="D37" s="249"/>
      <c r="E37" s="249"/>
      <c r="F37" s="249"/>
      <c r="G37" s="249"/>
      <c r="H37" s="249"/>
      <c r="I37" s="249"/>
      <c r="J37" s="249"/>
      <c r="K37" s="249"/>
      <c r="L37" s="249"/>
      <c r="M37" s="249"/>
      <c r="N37" s="249"/>
      <c r="O37" s="249"/>
      <c r="P37" s="249"/>
      <c r="Q37" s="249"/>
      <c r="R37" s="249"/>
      <c r="S37" s="112"/>
      <c r="T37" s="10"/>
      <c r="U37" s="379" t="s">
        <v>158</v>
      </c>
      <c r="V37" s="92" t="s">
        <v>845</v>
      </c>
      <c r="W37" s="435" t="e">
        <f>1000*W30/W32</f>
        <v>#DIV/0!</v>
      </c>
      <c r="X37" s="56" t="s">
        <v>161</v>
      </c>
      <c r="Y37" s="57"/>
      <c r="Z37" s="61"/>
      <c r="AA37" s="435" t="e">
        <f>1000*AA30/AA32</f>
        <v>#DIV/0!</v>
      </c>
      <c r="AB37" s="56" t="s">
        <v>162</v>
      </c>
      <c r="AC37" s="56"/>
      <c r="AD37" s="94"/>
      <c r="AE37" s="95" t="s">
        <v>163</v>
      </c>
      <c r="AF37" s="61"/>
      <c r="AG37" s="61"/>
      <c r="AH37" s="61"/>
      <c r="AI37" s="61"/>
      <c r="AJ37" s="61"/>
      <c r="AK37" s="61"/>
      <c r="AL37" s="61"/>
      <c r="AM37" s="92" t="s">
        <v>164</v>
      </c>
      <c r="AN37" s="61"/>
      <c r="AO37" s="61"/>
      <c r="AP37" s="327" t="e">
        <f>AP30*$E$20/(AP33*60)</f>
        <v>#DIV/0!</v>
      </c>
      <c r="AQ37" s="56" t="s">
        <v>165</v>
      </c>
      <c r="AR37" s="14"/>
    </row>
    <row r="38" spans="1:122" ht="15.6" customHeight="1" thickTop="1" x14ac:dyDescent="0.2">
      <c r="B38" s="118" t="str">
        <f>"TEST #3 "&amp;D7</f>
        <v xml:space="preserve">TEST #3 </v>
      </c>
      <c r="S38" s="2"/>
      <c r="T38" s="21"/>
      <c r="U38" s="379" t="s">
        <v>166</v>
      </c>
      <c r="V38" s="92" t="s">
        <v>159</v>
      </c>
      <c r="W38" s="435" t="e">
        <f>W37*75/($N$20-W8)</f>
        <v>#DIV/0!</v>
      </c>
      <c r="X38" s="56" t="s">
        <v>167</v>
      </c>
      <c r="Y38" s="57"/>
      <c r="Z38" s="61"/>
      <c r="AA38" s="435" t="e">
        <f>AA37*75/($N$20-AE8)</f>
        <v>#DIV/0!</v>
      </c>
      <c r="AB38" s="56" t="s">
        <v>168</v>
      </c>
      <c r="AC38" s="56"/>
      <c r="AD38" s="94"/>
      <c r="AE38" s="95" t="s">
        <v>169</v>
      </c>
      <c r="AF38" s="61"/>
      <c r="AG38" s="61"/>
      <c r="AH38" s="61"/>
      <c r="AI38" s="61"/>
      <c r="AJ38" s="61"/>
      <c r="AK38" s="61"/>
      <c r="AL38" s="61"/>
      <c r="AM38" s="92" t="s">
        <v>92</v>
      </c>
      <c r="AN38" s="61"/>
      <c r="AO38" s="61"/>
      <c r="AP38" s="417" t="e">
        <f>W40/AP37</f>
        <v>#DIV/0!</v>
      </c>
      <c r="AQ38" s="92" t="s">
        <v>170</v>
      </c>
      <c r="AR38" s="14"/>
    </row>
    <row r="39" spans="1:122" ht="15.6" customHeight="1" thickBot="1" x14ac:dyDescent="0.25">
      <c r="B39" s="619" t="s">
        <v>747</v>
      </c>
      <c r="C39" s="620"/>
      <c r="D39" s="620"/>
      <c r="E39" s="620"/>
      <c r="F39" s="620"/>
      <c r="G39" s="620"/>
      <c r="H39" s="620"/>
      <c r="I39" s="620"/>
      <c r="J39" s="620"/>
      <c r="K39" s="620"/>
      <c r="L39" s="620"/>
      <c r="M39" s="620"/>
      <c r="N39" s="620"/>
      <c r="O39" s="620"/>
      <c r="P39" s="620"/>
      <c r="Q39" s="620"/>
      <c r="R39" s="621"/>
      <c r="T39" s="21"/>
      <c r="U39" s="379" t="s">
        <v>171</v>
      </c>
      <c r="V39" s="92" t="s">
        <v>172</v>
      </c>
      <c r="W39" s="93" t="e">
        <f>(W38/1000)*E20</f>
        <v>#DIV/0!</v>
      </c>
      <c r="X39" s="56" t="s">
        <v>173</v>
      </c>
      <c r="Y39" s="57"/>
      <c r="Z39" s="61"/>
      <c r="AA39" s="93" t="e">
        <f>(AA38/1000)*E20</f>
        <v>#DIV/0!</v>
      </c>
      <c r="AB39" s="56" t="s">
        <v>174</v>
      </c>
      <c r="AC39" s="56"/>
      <c r="AD39" s="94"/>
      <c r="AE39" s="102" t="s">
        <v>175</v>
      </c>
      <c r="AF39" s="103"/>
      <c r="AG39" s="103"/>
      <c r="AH39" s="103"/>
      <c r="AI39" s="103"/>
      <c r="AJ39" s="103"/>
      <c r="AK39" s="103"/>
      <c r="AL39" s="103"/>
      <c r="AM39" s="104" t="s">
        <v>172</v>
      </c>
      <c r="AN39" s="103"/>
      <c r="AO39" s="103"/>
      <c r="AP39" s="105" t="e">
        <f>(AP36/1000)*E20</f>
        <v>#DIV/0!</v>
      </c>
      <c r="AQ39" s="106" t="s">
        <v>176</v>
      </c>
      <c r="AR39" s="107"/>
    </row>
    <row r="40" spans="1:122" ht="14.25" thickBot="1" x14ac:dyDescent="0.25">
      <c r="B40" s="616"/>
      <c r="C40" s="617"/>
      <c r="D40" s="617"/>
      <c r="E40" s="617"/>
      <c r="F40" s="617"/>
      <c r="G40" s="617"/>
      <c r="H40" s="617"/>
      <c r="I40" s="617"/>
      <c r="J40" s="617"/>
      <c r="K40" s="617"/>
      <c r="L40" s="617"/>
      <c r="M40" s="617"/>
      <c r="N40" s="617"/>
      <c r="O40" s="617"/>
      <c r="P40" s="617"/>
      <c r="Q40" s="617"/>
      <c r="R40" s="618"/>
      <c r="T40" s="21"/>
      <c r="U40" s="380" t="s">
        <v>163</v>
      </c>
      <c r="V40" s="115" t="s">
        <v>164</v>
      </c>
      <c r="W40" s="422" t="e">
        <f>W30*$E$20/(W33*60)</f>
        <v>#DIV/0!</v>
      </c>
      <c r="X40" s="376" t="s">
        <v>177</v>
      </c>
      <c r="Y40" s="252"/>
      <c r="Z40" s="114"/>
      <c r="AA40" s="422" t="e">
        <f>AA30*$E$20/(AA33*60)</f>
        <v>#DIV/0!</v>
      </c>
      <c r="AB40" s="376" t="s">
        <v>178</v>
      </c>
      <c r="AC40" s="376"/>
      <c r="AD40" s="253"/>
      <c r="AE40" s="3" t="s">
        <v>179</v>
      </c>
      <c r="AM40" s="3" t="s">
        <v>20</v>
      </c>
      <c r="AP40" s="388" t="e">
        <f>IF(ISERROR(AA38),5*(W38+AP36),5*(AVERAGE(W38,AA38)+AP36))</f>
        <v>#DIV/0!</v>
      </c>
      <c r="AQ40" s="108" t="s">
        <v>180</v>
      </c>
      <c r="AR40" s="14"/>
      <c r="DG40" s="1"/>
      <c r="DH40" s="1"/>
      <c r="DI40" s="1"/>
      <c r="DJ40" s="1"/>
      <c r="DK40" s="1"/>
      <c r="DL40" s="1"/>
      <c r="DM40" s="1"/>
      <c r="DN40" s="1"/>
      <c r="DO40" s="1"/>
      <c r="DP40" s="1"/>
      <c r="DQ40" s="1"/>
      <c r="DR40" s="1"/>
    </row>
    <row r="41" spans="1:122" ht="15.6" customHeight="1" thickTop="1" thickBot="1" x14ac:dyDescent="0.2">
      <c r="B41" s="616"/>
      <c r="C41" s="617"/>
      <c r="D41" s="617"/>
      <c r="E41" s="617"/>
      <c r="F41" s="617"/>
      <c r="G41" s="617"/>
      <c r="H41" s="617"/>
      <c r="I41" s="617"/>
      <c r="J41" s="617"/>
      <c r="K41" s="617"/>
      <c r="L41" s="617"/>
      <c r="M41" s="617"/>
      <c r="N41" s="617"/>
      <c r="O41" s="617"/>
      <c r="P41" s="617"/>
      <c r="Q41" s="617"/>
      <c r="R41" s="618"/>
      <c r="T41" s="13"/>
      <c r="U41" s="13"/>
      <c r="V41" s="13"/>
      <c r="W41" s="13"/>
      <c r="X41" s="13"/>
      <c r="Y41" s="8"/>
      <c r="Z41" s="8"/>
      <c r="AA41" s="8"/>
      <c r="AB41" s="13"/>
      <c r="AC41" s="8"/>
      <c r="AD41" s="384"/>
      <c r="AE41" s="114" t="s">
        <v>181</v>
      </c>
      <c r="AF41" s="114"/>
      <c r="AG41" s="114"/>
      <c r="AH41" s="114"/>
      <c r="AI41" s="114"/>
      <c r="AJ41" s="114"/>
      <c r="AK41" s="114"/>
      <c r="AL41" s="114"/>
      <c r="AM41" s="114" t="s">
        <v>182</v>
      </c>
      <c r="AN41" s="114"/>
      <c r="AO41" s="114"/>
      <c r="AP41" s="254" t="e">
        <f>(AP40/1000)*E20</f>
        <v>#DIV/0!</v>
      </c>
      <c r="AQ41" s="115" t="s">
        <v>183</v>
      </c>
      <c r="AR41" s="116"/>
      <c r="DG41" s="1"/>
      <c r="DH41" s="1"/>
      <c r="DI41" s="1"/>
      <c r="DJ41" s="1"/>
      <c r="DK41" s="1"/>
      <c r="DL41" s="1"/>
      <c r="DM41" s="1"/>
      <c r="DN41" s="1"/>
      <c r="DO41" s="1"/>
      <c r="DP41" s="1"/>
      <c r="DQ41" s="1"/>
      <c r="DR41" s="1"/>
    </row>
    <row r="42" spans="1:122" ht="15.6" customHeight="1" thickTop="1" thickBot="1" x14ac:dyDescent="0.2">
      <c r="B42" s="616"/>
      <c r="C42" s="617"/>
      <c r="D42" s="617"/>
      <c r="E42" s="617"/>
      <c r="F42" s="617"/>
      <c r="G42" s="617"/>
      <c r="H42" s="617"/>
      <c r="I42" s="617"/>
      <c r="J42" s="617"/>
      <c r="K42" s="617"/>
      <c r="L42" s="617"/>
      <c r="M42" s="617"/>
      <c r="N42" s="617"/>
      <c r="O42" s="617"/>
      <c r="P42" s="617"/>
      <c r="Q42" s="617"/>
      <c r="R42" s="618"/>
      <c r="U42" s="387" t="s">
        <v>966</v>
      </c>
      <c r="W42" s="108">
        <v>1</v>
      </c>
      <c r="DG42" s="1"/>
      <c r="DH42" s="1"/>
      <c r="DI42" s="1"/>
      <c r="DJ42" s="1"/>
      <c r="DK42" s="1"/>
      <c r="DL42" s="1"/>
      <c r="DM42" s="1"/>
      <c r="DN42" s="1"/>
      <c r="DO42" s="1"/>
      <c r="DP42" s="1"/>
      <c r="DQ42" s="1"/>
      <c r="DR42" s="1"/>
    </row>
    <row r="43" spans="1:122" ht="15.6" customHeight="1" thickTop="1" x14ac:dyDescent="0.15">
      <c r="B43" s="616"/>
      <c r="C43" s="617"/>
      <c r="D43" s="617"/>
      <c r="E43" s="617"/>
      <c r="F43" s="617"/>
      <c r="G43" s="617"/>
      <c r="H43" s="617"/>
      <c r="I43" s="617"/>
      <c r="J43" s="617"/>
      <c r="K43" s="617"/>
      <c r="L43" s="617"/>
      <c r="M43" s="617"/>
      <c r="N43" s="617"/>
      <c r="O43" s="617"/>
      <c r="P43" s="617"/>
      <c r="Q43" s="617"/>
      <c r="R43" s="618"/>
      <c r="U43" s="283" t="s">
        <v>952</v>
      </c>
      <c r="V43" s="284"/>
      <c r="W43" s="285"/>
      <c r="X43" s="410"/>
      <c r="Y43" s="287"/>
      <c r="Z43" s="287"/>
      <c r="AA43" s="287"/>
      <c r="AB43" s="287"/>
      <c r="AC43" s="287"/>
      <c r="AD43" s="287"/>
      <c r="AE43" s="285" t="s">
        <v>88</v>
      </c>
      <c r="AF43" s="288" t="s">
        <v>866</v>
      </c>
      <c r="DG43" s="1"/>
      <c r="DH43" s="1"/>
      <c r="DI43" s="1"/>
      <c r="DJ43" s="1"/>
      <c r="DK43" s="1"/>
      <c r="DL43" s="1"/>
      <c r="DM43" s="1"/>
      <c r="DN43" s="1"/>
      <c r="DO43" s="1"/>
      <c r="DP43" s="1"/>
      <c r="DQ43" s="1"/>
      <c r="DR43" s="1"/>
    </row>
    <row r="44" spans="1:122" ht="15.6" customHeight="1" x14ac:dyDescent="0.15">
      <c r="B44" s="616"/>
      <c r="C44" s="617"/>
      <c r="D44" s="617"/>
      <c r="E44" s="617"/>
      <c r="F44" s="617"/>
      <c r="G44" s="617"/>
      <c r="H44" s="617"/>
      <c r="I44" s="617"/>
      <c r="J44" s="617"/>
      <c r="K44" s="617"/>
      <c r="L44" s="617"/>
      <c r="M44" s="617"/>
      <c r="N44" s="617"/>
      <c r="O44" s="617"/>
      <c r="P44" s="617"/>
      <c r="Q44" s="617"/>
      <c r="R44" s="618"/>
      <c r="U44" s="289" t="s">
        <v>851</v>
      </c>
      <c r="V44" s="290"/>
      <c r="AB44" s="22" t="s">
        <v>113</v>
      </c>
      <c r="AE44" s="396" t="e">
        <f>IF(AA33=0,W35,(W35+AA35)/2)</f>
        <v>#DIV/0!</v>
      </c>
      <c r="AF44" s="423" t="e">
        <f>IF(AE44=0,"-",IF(AE44&lt;Lists!E15,"0",IF(AE44&lt;Lists!I15,1,IF(AE44&lt;Lists!K15,2,IF(AE44&lt;Lists!M15,3,4)))))</f>
        <v>#DIV/0!</v>
      </c>
      <c r="DG44" s="1"/>
      <c r="DH44" s="1"/>
      <c r="DI44" s="1"/>
      <c r="DJ44" s="1"/>
      <c r="DK44" s="1"/>
      <c r="DL44" s="1"/>
      <c r="DM44" s="1"/>
      <c r="DN44" s="1"/>
      <c r="DO44" s="1"/>
      <c r="DP44" s="1"/>
      <c r="DQ44" s="1"/>
      <c r="DR44" s="1"/>
    </row>
    <row r="45" spans="1:122" ht="15.6" customHeight="1" x14ac:dyDescent="0.15">
      <c r="B45" s="616"/>
      <c r="C45" s="617"/>
      <c r="D45" s="617"/>
      <c r="E45" s="617"/>
      <c r="F45" s="617"/>
      <c r="G45" s="617"/>
      <c r="H45" s="617"/>
      <c r="I45" s="617"/>
      <c r="J45" s="617"/>
      <c r="K45" s="617"/>
      <c r="L45" s="617"/>
      <c r="M45" s="617"/>
      <c r="N45" s="617"/>
      <c r="O45" s="617"/>
      <c r="P45" s="617"/>
      <c r="Q45" s="617"/>
      <c r="R45" s="618"/>
      <c r="U45" s="289" t="s">
        <v>958</v>
      </c>
      <c r="V45" s="290"/>
      <c r="AB45" s="22" t="s">
        <v>959</v>
      </c>
      <c r="AE45" s="403" t="e">
        <f>AP30*'General Information'!L22/(AP32*AP33*1000)</f>
        <v>#DIV/0!</v>
      </c>
      <c r="AF45" s="424" t="e">
        <f>IF(AE45&gt;Lists!E16,"0",IF(AE45&gt;Lists!I16,1,IF(AE45&gt;Lists!K16,2,IF(AE45&gt;Lists!M16,3,4))))</f>
        <v>#DIV/0!</v>
      </c>
    </row>
    <row r="46" spans="1:122" ht="15.6" customHeight="1" x14ac:dyDescent="0.15">
      <c r="B46" s="616"/>
      <c r="C46" s="617"/>
      <c r="D46" s="617"/>
      <c r="E46" s="617"/>
      <c r="F46" s="617"/>
      <c r="G46" s="617"/>
      <c r="H46" s="617"/>
      <c r="I46" s="617"/>
      <c r="J46" s="617"/>
      <c r="K46" s="617"/>
      <c r="L46" s="617"/>
      <c r="M46" s="617"/>
      <c r="N46" s="617"/>
      <c r="O46" s="617"/>
      <c r="P46" s="617"/>
      <c r="Q46" s="617"/>
      <c r="R46" s="618"/>
      <c r="U46" s="289" t="s">
        <v>854</v>
      </c>
      <c r="V46" s="290"/>
      <c r="AB46" s="22" t="s">
        <v>960</v>
      </c>
      <c r="AE46" s="402" t="e">
        <f>IF(W42=3,IF(AA33=0,1000000/'General Information'!L22*AA23/(W35*W30),1000000/'General Information'!L22*(AA23/(W35*W30)+AI23/(AA35*AA30))/2),IF(W42=1,IF(AA33=0,1000000/'General Information'!L22*W70/(W35*W30),1000000/'General Information'!L22*(W70/(W35*W30)+AA70/(AA35*AA30))/2),IF(AA33=0,1000000/'General Information'!L22*W74/(W35*W30),1000000/'General Information'!L22*(W74/(W35*W30)+AA74/(AA35*AA30))/2)))</f>
        <v>#DIV/0!</v>
      </c>
      <c r="AF46" s="424" t="e">
        <f xml:space="preserve"> IF(AE46&gt;Lists!E17,"0",IF(AE46&gt;Lists!I17,1,IF(AE46&gt;Lists!K17,2,IF(AE46&gt;Lists!M17,3,4))))</f>
        <v>#DIV/0!</v>
      </c>
    </row>
    <row r="47" spans="1:122" ht="15.6" customHeight="1" x14ac:dyDescent="0.15">
      <c r="B47" s="616"/>
      <c r="C47" s="617"/>
      <c r="D47" s="617"/>
      <c r="E47" s="617"/>
      <c r="F47" s="617"/>
      <c r="G47" s="617"/>
      <c r="H47" s="617"/>
      <c r="I47" s="617"/>
      <c r="J47" s="617"/>
      <c r="K47" s="617"/>
      <c r="L47" s="617"/>
      <c r="M47" s="617"/>
      <c r="N47" s="617"/>
      <c r="O47" s="617"/>
      <c r="P47" s="617"/>
      <c r="Q47" s="617"/>
      <c r="R47" s="618"/>
      <c r="U47" s="289" t="s">
        <v>856</v>
      </c>
      <c r="V47" s="290"/>
      <c r="AB47" s="22" t="s">
        <v>961</v>
      </c>
      <c r="AE47" s="403" t="e">
        <f>IF(W42=3,AP23/(AP33*AP32)*1000,IF(W42=1,AE70/(AP33*AP32)*1000,AE74/(AP33*AP32)*1000))</f>
        <v>#DIV/0!</v>
      </c>
      <c r="AF47" s="424" t="e">
        <f>IF(AE47&gt;Lists!E18,"0",IF(AE47&gt;Lists!I18,1,IF(AE47&gt;Lists!K18,2,IF(AE47&gt;Lists!M18,3,4))))</f>
        <v>#DIV/0!</v>
      </c>
    </row>
    <row r="48" spans="1:122" ht="15.6" customHeight="1" x14ac:dyDescent="0.15">
      <c r="B48" s="613"/>
      <c r="C48" s="614"/>
      <c r="D48" s="614"/>
      <c r="E48" s="614"/>
      <c r="F48" s="614"/>
      <c r="G48" s="614"/>
      <c r="H48" s="614"/>
      <c r="I48" s="614"/>
      <c r="J48" s="614"/>
      <c r="K48" s="614"/>
      <c r="L48" s="614"/>
      <c r="M48" s="614"/>
      <c r="N48" s="614"/>
      <c r="O48" s="614"/>
      <c r="P48" s="614"/>
      <c r="Q48" s="614"/>
      <c r="R48" s="615"/>
      <c r="U48" s="289" t="s">
        <v>858</v>
      </c>
      <c r="V48" s="290"/>
      <c r="AB48" s="22" t="s">
        <v>962</v>
      </c>
      <c r="AE48" s="404" t="e">
        <f>IF(W42=3,IF(AA33=0,10^9/'General Information'!L22*AA24/(W35*W30),10^9/'General Information'!L22*(AA24/(W35*W30)+AI24/(AA35*AA30))/2),IF(W42=1,IF(AA33=0,10^9/'General Information'!L22*W71/(W35*W30),10^9/'General Information'!L22*(W71/(W35*W30)+AA71/(AA35*AA30))/2),IF(AA33=0,10^9/'General Information'!L22*W75/(W35*W30),10^9/'General Information'!L22*(W75/(W35*W30)+AA75/(AA35*AA30))/2)))</f>
        <v>#DIV/0!</v>
      </c>
      <c r="AF48" s="424" t="e">
        <f>IF(AE48&gt;Lists!E19,"0",IF(AE48&gt;Lists!I19,1,IF(AE48&gt;Lists!K19,2,IF(AE48&gt;Lists!M19,3,4))))</f>
        <v>#DIV/0!</v>
      </c>
    </row>
    <row r="49" spans="2:35" ht="15.6" customHeight="1" x14ac:dyDescent="0.15">
      <c r="C49" s="1"/>
      <c r="H49" s="1"/>
      <c r="I49" s="1"/>
      <c r="J49" s="1"/>
      <c r="K49" s="1"/>
      <c r="L49" s="1"/>
      <c r="M49" s="1"/>
      <c r="N49" s="1"/>
      <c r="O49" s="1"/>
      <c r="P49" s="1"/>
      <c r="Q49" s="1"/>
      <c r="R49" s="1"/>
      <c r="U49" s="289" t="s">
        <v>860</v>
      </c>
      <c r="V49" s="290"/>
      <c r="AB49" s="22" t="s">
        <v>963</v>
      </c>
      <c r="AE49" s="397" t="e">
        <f>IF(W42=3,AP24/(AP33*AP32)*1000000,IF(W42=1,AE71/(AP33*AP32)*1000000,AE75/(AP33*AP32)*1000000))</f>
        <v>#DIV/0!</v>
      </c>
      <c r="AF49" s="424" t="e">
        <f>IF(AE49&gt;Lists!E20,"0",IF(AE49&gt;Lists!I20,1,IF(AE49&gt;Lists!K20,2,IF(AE49&gt;Lists!M20,3,4))))</f>
        <v>#DIV/0!</v>
      </c>
    </row>
    <row r="50" spans="2:35" ht="15.6" customHeight="1" x14ac:dyDescent="0.15">
      <c r="B50" s="619" t="s">
        <v>802</v>
      </c>
      <c r="C50" s="620"/>
      <c r="D50" s="620"/>
      <c r="E50" s="620"/>
      <c r="F50" s="620"/>
      <c r="G50" s="620"/>
      <c r="H50" s="620"/>
      <c r="I50" s="620"/>
      <c r="J50" s="620"/>
      <c r="K50" s="620"/>
      <c r="L50" s="620"/>
      <c r="M50" s="620"/>
      <c r="N50" s="620"/>
      <c r="O50" s="620"/>
      <c r="P50" s="620"/>
      <c r="Q50" s="620"/>
      <c r="R50" s="621"/>
      <c r="U50" s="289" t="s">
        <v>879</v>
      </c>
      <c r="V50" s="290"/>
      <c r="AB50" s="22" t="s">
        <v>154</v>
      </c>
      <c r="AE50" s="397" t="e">
        <f>IF(W42=3,IF(IF(AA33=0,AA23/W33,(AA23/W33+AI23/AA33)/2)&lt;(AP23/AP33),AP23/AP33,IF(AA33=0,AA23/W33,(AA23/W33+AI23/AA33)/2)),IF(W42=1,IF(IF(AA33=0,W70/W33,(W70/W33+AA70/AA33)/2)&lt;(AE70/AP33),AE70/AP33,IF(AA33=0,W70/W33,(W70/W33+AA70/AA33)/2)),IF(IF(AA33=0,W74/W33,(W74/W33+AA74/AA33)/2)&lt;(AE74/AP33),AE74/AP33,IF(AA33=0,W74/W33,(W74/W33+AA74/AA33)/2))))</f>
        <v>#DIV/0!</v>
      </c>
      <c r="AF50" s="424" t="e">
        <f>IF(AE50&gt;Lists!E21,"0",IF(AE50&gt;Lists!I21,1,IF(AE50&gt;Lists!K21,2,IF(AE50&gt;Lists!M21,3,4))))</f>
        <v>#DIV/0!</v>
      </c>
    </row>
    <row r="51" spans="2:35" ht="15.6" customHeight="1" thickBot="1" x14ac:dyDescent="0.2">
      <c r="B51" s="616"/>
      <c r="C51" s="617"/>
      <c r="D51" s="617"/>
      <c r="E51" s="617"/>
      <c r="F51" s="617"/>
      <c r="G51" s="617"/>
      <c r="H51" s="617"/>
      <c r="I51" s="617"/>
      <c r="J51" s="617"/>
      <c r="K51" s="617"/>
      <c r="L51" s="617"/>
      <c r="M51" s="617"/>
      <c r="N51" s="617"/>
      <c r="O51" s="617"/>
      <c r="P51" s="617"/>
      <c r="Q51" s="617"/>
      <c r="R51" s="618"/>
      <c r="U51" s="291" t="s">
        <v>878</v>
      </c>
      <c r="V51" s="292"/>
      <c r="W51" s="269"/>
      <c r="X51" s="269"/>
      <c r="Y51" s="269"/>
      <c r="Z51" s="269"/>
      <c r="AA51" s="269"/>
      <c r="AB51" s="270" t="s">
        <v>864</v>
      </c>
      <c r="AC51" s="269"/>
      <c r="AD51" s="269"/>
      <c r="AE51" s="405" t="e">
        <f>IF(W42=3,IF(IF(AA33=0,AA24/W33,(AA24/W33+AI24/AA33)/2)&lt;(AP24/AP33),AP24/AP33*1000,IF(AA33=0,AA24/W33,(AA24/W33+AI24/AA33)/2)*1000),IF(W42=1,IF(IF(AA33=0,W71/W33,(W71/W33+AA71/AA33)/2)&lt;(AE71/AP33),AE71/AP33*1000,IF(AA33=0,W71/W33,(W71/W33+AA71/AA33)/2)*1000),IF(IF(AA33=0,W75/W33,(W75/W33+AA75/AA33)/2)&lt;(AE75/AP33),AE75/AP33*1000,IF(AA33=0,W75/W33,(W75/W33+AA75/AA33)/2)*1000)))</f>
        <v>#DIV/0!</v>
      </c>
      <c r="AF51" s="425" t="e">
        <f>IF(AE51&gt;Lists!E22,"0",IF(AE51&gt;Lists!I22,1,IF(AE51&gt;Lists!K22,2,IF(AE51&gt;Lists!M22,3,4))))</f>
        <v>#DIV/0!</v>
      </c>
      <c r="AI51" s="13"/>
    </row>
    <row r="52" spans="2:35" ht="15.6" customHeight="1" thickTop="1" thickBot="1" x14ac:dyDescent="0.2">
      <c r="B52" s="616"/>
      <c r="C52" s="617"/>
      <c r="D52" s="617"/>
      <c r="E52" s="617"/>
      <c r="F52" s="617"/>
      <c r="G52" s="617"/>
      <c r="H52" s="617"/>
      <c r="I52" s="617"/>
      <c r="J52" s="617"/>
      <c r="K52" s="617"/>
      <c r="L52" s="617"/>
      <c r="M52" s="617"/>
      <c r="N52" s="617"/>
      <c r="O52" s="617"/>
      <c r="P52" s="617"/>
      <c r="Q52" s="617"/>
      <c r="R52" s="618"/>
      <c r="U52" s="118" t="str">
        <f>"TEST #3 "&amp;D7</f>
        <v xml:space="preserve">TEST #3 </v>
      </c>
      <c r="V52" s="86" t="s">
        <v>804</v>
      </c>
      <c r="AI52" s="13"/>
    </row>
    <row r="53" spans="2:35" ht="15.6" customHeight="1" thickTop="1" x14ac:dyDescent="0.15">
      <c r="B53" s="616"/>
      <c r="C53" s="617"/>
      <c r="D53" s="617"/>
      <c r="E53" s="617"/>
      <c r="F53" s="617"/>
      <c r="G53" s="617"/>
      <c r="H53" s="617"/>
      <c r="I53" s="617"/>
      <c r="J53" s="617"/>
      <c r="K53" s="617"/>
      <c r="L53" s="617"/>
      <c r="M53" s="617"/>
      <c r="N53" s="617"/>
      <c r="O53" s="617"/>
      <c r="P53" s="617"/>
      <c r="Q53" s="617"/>
      <c r="R53" s="618"/>
      <c r="T53" s="7"/>
      <c r="U53" s="8"/>
      <c r="V53" s="8"/>
      <c r="W53" s="260" t="s">
        <v>110</v>
      </c>
      <c r="X53" s="8"/>
      <c r="Y53" s="261"/>
      <c r="Z53" s="8"/>
      <c r="AA53" s="260" t="s">
        <v>111</v>
      </c>
      <c r="AB53" s="8"/>
      <c r="AC53" s="261"/>
      <c r="AD53" s="8"/>
      <c r="AE53" s="260" t="s">
        <v>2</v>
      </c>
      <c r="AF53" s="8"/>
      <c r="AG53" s="146"/>
      <c r="AH53" s="146"/>
      <c r="AI53" s="271"/>
    </row>
    <row r="54" spans="2:35" ht="15.6" customHeight="1" x14ac:dyDescent="0.15">
      <c r="B54" s="616"/>
      <c r="C54" s="617"/>
      <c r="D54" s="617"/>
      <c r="E54" s="617"/>
      <c r="F54" s="617"/>
      <c r="G54" s="617"/>
      <c r="H54" s="617"/>
      <c r="I54" s="617"/>
      <c r="J54" s="617"/>
      <c r="K54" s="617"/>
      <c r="L54" s="617"/>
      <c r="M54" s="617"/>
      <c r="N54" s="617"/>
      <c r="O54" s="617"/>
      <c r="P54" s="617"/>
      <c r="Q54" s="617"/>
      <c r="R54" s="618"/>
      <c r="T54" s="10"/>
      <c r="U54" s="88" t="s">
        <v>116</v>
      </c>
      <c r="V54" s="89" t="s">
        <v>9</v>
      </c>
      <c r="W54" s="89" t="s">
        <v>10</v>
      </c>
      <c r="X54" s="89" t="s">
        <v>11</v>
      </c>
      <c r="Y54" s="46"/>
      <c r="Z54" s="13"/>
      <c r="AA54" s="89" t="s">
        <v>10</v>
      </c>
      <c r="AB54" s="89" t="s">
        <v>11</v>
      </c>
      <c r="AC54" s="46"/>
      <c r="AD54" s="13"/>
      <c r="AE54" s="89" t="s">
        <v>10</v>
      </c>
      <c r="AF54" s="89" t="s">
        <v>11</v>
      </c>
      <c r="AG54" s="71"/>
      <c r="AH54" s="71"/>
      <c r="AI54" s="271"/>
    </row>
    <row r="55" spans="2:35" ht="15.6" customHeight="1" x14ac:dyDescent="0.3">
      <c r="B55" s="616"/>
      <c r="C55" s="617"/>
      <c r="D55" s="617"/>
      <c r="E55" s="617"/>
      <c r="F55" s="617"/>
      <c r="G55" s="617"/>
      <c r="H55" s="617"/>
      <c r="I55" s="617"/>
      <c r="J55" s="617"/>
      <c r="K55" s="617"/>
      <c r="L55" s="617"/>
      <c r="M55" s="617"/>
      <c r="N55" s="617"/>
      <c r="O55" s="617"/>
      <c r="P55" s="617"/>
      <c r="Q55" s="617"/>
      <c r="R55" s="618"/>
      <c r="T55" s="10"/>
      <c r="U55" s="91" t="s">
        <v>805</v>
      </c>
      <c r="V55" s="92" t="s">
        <v>806</v>
      </c>
      <c r="W55" s="427">
        <f>'General Information'!$C$24*W33/60</f>
        <v>0</v>
      </c>
      <c r="X55" s="350" t="s">
        <v>884</v>
      </c>
      <c r="Y55" s="57"/>
      <c r="Z55" s="61"/>
      <c r="AA55" s="426">
        <f>'General Information'!$C$24*AA33/60</f>
        <v>0</v>
      </c>
      <c r="AB55" s="351" t="s">
        <v>885</v>
      </c>
      <c r="AC55" s="46"/>
      <c r="AD55" s="13"/>
      <c r="AE55" s="426">
        <f>'General Information'!$C$24*AP33/60</f>
        <v>0</v>
      </c>
      <c r="AF55" s="351" t="s">
        <v>886</v>
      </c>
      <c r="AG55" s="71"/>
      <c r="AH55" s="71"/>
      <c r="AI55" s="271"/>
    </row>
    <row r="56" spans="2:35" ht="15.6" customHeight="1" x14ac:dyDescent="0.3">
      <c r="B56" s="616"/>
      <c r="C56" s="617"/>
      <c r="D56" s="617"/>
      <c r="E56" s="617"/>
      <c r="F56" s="617"/>
      <c r="G56" s="617"/>
      <c r="H56" s="617"/>
      <c r="I56" s="617"/>
      <c r="J56" s="617"/>
      <c r="K56" s="617"/>
      <c r="L56" s="617"/>
      <c r="M56" s="617"/>
      <c r="N56" s="617"/>
      <c r="O56" s="617"/>
      <c r="P56" s="617"/>
      <c r="Q56" s="617"/>
      <c r="R56" s="618"/>
      <c r="T56" s="10"/>
      <c r="U56" s="91" t="s">
        <v>814</v>
      </c>
      <c r="V56" s="92" t="s">
        <v>781</v>
      </c>
      <c r="W56" s="421" t="e">
        <f>((AA18-$N21)+(AA19-$N22)+(AA20-$N23)/15/('General Information'!$C$22/0.008314/(AA21+273.15)))</f>
        <v>#DIV/0!</v>
      </c>
      <c r="X56" s="350" t="s">
        <v>887</v>
      </c>
      <c r="Y56" s="57"/>
      <c r="Z56" s="61"/>
      <c r="AA56" s="429" t="e">
        <f>((AI18-$N21)+(AI19-$N22)+(AI20-$N23)/15/('General Information'!$C$22/0.008314/(AI21+273.15)))</f>
        <v>#DIV/0!</v>
      </c>
      <c r="AB56" s="351" t="s">
        <v>888</v>
      </c>
      <c r="AC56" s="57"/>
      <c r="AD56" s="13"/>
      <c r="AE56" s="429" t="e">
        <f>((AP18-$N21)+(AP19-$N22)+(AP20-$N23)/15/('General Information'!$C$22/0.008314/(AP21+273.15)))</f>
        <v>#DIV/0!</v>
      </c>
      <c r="AF56" s="351" t="s">
        <v>889</v>
      </c>
      <c r="AG56" s="71"/>
      <c r="AH56" s="71"/>
      <c r="AI56" s="271"/>
    </row>
    <row r="57" spans="2:35" ht="15.6" customHeight="1" x14ac:dyDescent="0.3">
      <c r="B57" s="616"/>
      <c r="C57" s="617"/>
      <c r="D57" s="617"/>
      <c r="E57" s="617"/>
      <c r="F57" s="617"/>
      <c r="G57" s="617"/>
      <c r="H57" s="617"/>
      <c r="I57" s="617"/>
      <c r="J57" s="617"/>
      <c r="K57" s="617"/>
      <c r="L57" s="617"/>
      <c r="M57" s="617"/>
      <c r="N57" s="617"/>
      <c r="O57" s="617"/>
      <c r="P57" s="617"/>
      <c r="Q57" s="617"/>
      <c r="R57" s="618"/>
      <c r="T57" s="10"/>
      <c r="U57" s="91" t="s">
        <v>807</v>
      </c>
      <c r="V57" s="92" t="s">
        <v>808</v>
      </c>
      <c r="W57" s="395" t="e">
        <f>'General Information'!$C$22/0.008314/(AA21+273.15)*W56*0.000001*12</f>
        <v>#DIV/0!</v>
      </c>
      <c r="X57" s="350" t="s">
        <v>890</v>
      </c>
      <c r="Y57" s="57"/>
      <c r="Z57" s="61"/>
      <c r="AA57" s="392" t="e">
        <f>'General Information'!$C$22/0.008314/(AI21+273.15)*AA56*0.000001*12</f>
        <v>#DIV/0!</v>
      </c>
      <c r="AB57" s="351" t="s">
        <v>891</v>
      </c>
      <c r="AC57" s="57"/>
      <c r="AD57" s="13"/>
      <c r="AE57" s="392" t="e">
        <f>'General Information'!$C$22/0.008314/(AP21+273.15)*AE56*0.000001*12</f>
        <v>#DIV/0!</v>
      </c>
      <c r="AF57" s="351" t="s">
        <v>892</v>
      </c>
      <c r="AG57" s="71"/>
      <c r="AH57" s="71"/>
      <c r="AI57" s="271"/>
    </row>
    <row r="58" spans="2:35" ht="15.6" customHeight="1" x14ac:dyDescent="0.15">
      <c r="B58" s="616"/>
      <c r="C58" s="617"/>
      <c r="D58" s="617"/>
      <c r="E58" s="617"/>
      <c r="F58" s="617"/>
      <c r="G58" s="617"/>
      <c r="H58" s="617"/>
      <c r="I58" s="617"/>
      <c r="J58" s="617"/>
      <c r="K58" s="617"/>
      <c r="L58" s="617"/>
      <c r="M58" s="617"/>
      <c r="N58" s="617"/>
      <c r="O58" s="617"/>
      <c r="P58" s="617"/>
      <c r="Q58" s="617"/>
      <c r="R58" s="618"/>
      <c r="T58" s="10"/>
      <c r="U58" s="91" t="s">
        <v>877</v>
      </c>
      <c r="V58" s="92" t="s">
        <v>20</v>
      </c>
      <c r="W58" s="93" t="e">
        <f>W57*W55/fuelFracC</f>
        <v>#DIV/0!</v>
      </c>
      <c r="X58" s="351" t="s">
        <v>893</v>
      </c>
      <c r="Y58" s="57"/>
      <c r="Z58" s="61"/>
      <c r="AA58" s="392" t="e">
        <f>AA57*AA55/fuelFracC</f>
        <v>#DIV/0!</v>
      </c>
      <c r="AB58" s="351" t="s">
        <v>894</v>
      </c>
      <c r="AC58" s="57"/>
      <c r="AD58" s="13"/>
      <c r="AE58" s="392" t="e">
        <f>AE57*AE55/fuelFracC</f>
        <v>#DIV/0!</v>
      </c>
      <c r="AF58" s="351" t="s">
        <v>895</v>
      </c>
      <c r="AG58" s="13"/>
      <c r="AH58" s="13"/>
      <c r="AI58" s="271"/>
    </row>
    <row r="59" spans="2:35" ht="15.6" customHeight="1" x14ac:dyDescent="0.15">
      <c r="B59" s="613"/>
      <c r="C59" s="614"/>
      <c r="D59" s="614"/>
      <c r="E59" s="614"/>
      <c r="F59" s="614"/>
      <c r="G59" s="614"/>
      <c r="H59" s="614"/>
      <c r="I59" s="614"/>
      <c r="J59" s="614"/>
      <c r="K59" s="614"/>
      <c r="L59" s="614"/>
      <c r="M59" s="614"/>
      <c r="N59" s="614"/>
      <c r="O59" s="614"/>
      <c r="P59" s="614"/>
      <c r="Q59" s="614"/>
      <c r="R59" s="615"/>
      <c r="T59" s="10"/>
      <c r="U59" s="13" t="s">
        <v>824</v>
      </c>
      <c r="V59" s="22" t="s">
        <v>113</v>
      </c>
      <c r="W59" s="431" t="e">
        <f>W58/((1-$E$18)*(W28)-W29*charFracC/'General Information'!L23)</f>
        <v>#DIV/0!</v>
      </c>
      <c r="X59" s="351" t="s">
        <v>896</v>
      </c>
      <c r="Y59" s="334"/>
      <c r="Z59" s="335"/>
      <c r="AA59" s="430" t="e">
        <f>AA58/((1-$E$18)*(AA28)-AA29*charFracC/'General Information'!L23)</f>
        <v>#DIV/0!</v>
      </c>
      <c r="AB59" s="351" t="s">
        <v>897</v>
      </c>
      <c r="AC59" s="334"/>
      <c r="AD59" s="336"/>
      <c r="AE59" s="430" t="e">
        <f>AE58/((1-$E$18)*(AP28)-AP29*charFracC/'General Information'!L23)</f>
        <v>#DIV/0!</v>
      </c>
      <c r="AF59" s="351" t="s">
        <v>898</v>
      </c>
      <c r="AG59" s="13"/>
      <c r="AH59" s="13"/>
      <c r="AI59" s="271"/>
    </row>
    <row r="60" spans="2:35" ht="15.6" customHeight="1" x14ac:dyDescent="0.15">
      <c r="T60" s="10"/>
      <c r="U60" s="262" t="s">
        <v>813</v>
      </c>
      <c r="V60" s="13"/>
      <c r="W60" s="312"/>
      <c r="X60" s="56"/>
      <c r="Y60" s="57"/>
      <c r="Z60" s="61"/>
      <c r="AA60" s="2"/>
      <c r="AB60" s="22"/>
      <c r="AC60" s="57"/>
      <c r="AD60" s="13"/>
      <c r="AE60" s="312"/>
      <c r="AF60" s="22"/>
      <c r="AG60" s="22"/>
      <c r="AH60" s="13"/>
      <c r="AI60" s="271"/>
    </row>
    <row r="61" spans="2:35" ht="15.6" customHeight="1" x14ac:dyDescent="0.15">
      <c r="B61" s="619" t="s">
        <v>803</v>
      </c>
      <c r="C61" s="620"/>
      <c r="D61" s="620"/>
      <c r="E61" s="620"/>
      <c r="F61" s="620"/>
      <c r="G61" s="620"/>
      <c r="H61" s="620"/>
      <c r="I61" s="620"/>
      <c r="J61" s="620"/>
      <c r="K61" s="620"/>
      <c r="L61" s="620"/>
      <c r="M61" s="620"/>
      <c r="N61" s="620"/>
      <c r="O61" s="620"/>
      <c r="P61" s="620"/>
      <c r="Q61" s="620"/>
      <c r="R61" s="621"/>
      <c r="T61" s="10"/>
      <c r="U61" s="13" t="s">
        <v>812</v>
      </c>
      <c r="V61" s="22" t="s">
        <v>159</v>
      </c>
      <c r="W61" s="432" t="e">
        <f>IF($W$42=3,AA22/W$32*1000,IF($W$42=1,W69/W$32*1000,W73/W$32*1000))</f>
        <v>#DIV/0!</v>
      </c>
      <c r="X61" s="356" t="s">
        <v>919</v>
      </c>
      <c r="Y61" s="329"/>
      <c r="Z61" s="330"/>
      <c r="AA61" s="432" t="e">
        <f>IF($W$42=3,AI22/AA$32*1000,IF($W$42=1,AA69/AA$32*1000,AA73/AA$32*1000))</f>
        <v>#DIV/0!</v>
      </c>
      <c r="AB61" s="356" t="s">
        <v>920</v>
      </c>
      <c r="AC61" s="329"/>
      <c r="AD61" s="357"/>
      <c r="AE61" s="432" t="e">
        <f>IF($W$42=3,AP22/AP$32*1000,IF($W$42=1,AE69/AP$32*1000,AE73/AP$32*1000))</f>
        <v>#DIV/0!</v>
      </c>
      <c r="AF61" s="351" t="s">
        <v>921</v>
      </c>
      <c r="AG61" s="22"/>
      <c r="AH61" s="13"/>
      <c r="AI61" s="271"/>
    </row>
    <row r="62" spans="2:35" ht="15.6" customHeight="1" x14ac:dyDescent="0.15">
      <c r="B62" s="616"/>
      <c r="C62" s="617"/>
      <c r="D62" s="617"/>
      <c r="E62" s="617"/>
      <c r="F62" s="617"/>
      <c r="G62" s="617"/>
      <c r="H62" s="617"/>
      <c r="I62" s="617"/>
      <c r="J62" s="617"/>
      <c r="K62" s="617"/>
      <c r="L62" s="617"/>
      <c r="M62" s="617"/>
      <c r="N62" s="617"/>
      <c r="O62" s="617"/>
      <c r="P62" s="617"/>
      <c r="Q62" s="617"/>
      <c r="R62" s="618"/>
      <c r="T62" s="10"/>
      <c r="U62" s="13" t="s">
        <v>810</v>
      </c>
      <c r="V62" s="22" t="s">
        <v>159</v>
      </c>
      <c r="W62" s="406" t="e">
        <f>IF($W$42=3,AA23/W$32*1000,IF($W$42=1,W70/W$32*1000,W74/W$32*1000))</f>
        <v>#DIV/0!</v>
      </c>
      <c r="X62" s="358" t="s">
        <v>922</v>
      </c>
      <c r="Y62" s="337"/>
      <c r="Z62" s="338"/>
      <c r="AA62" s="406" t="e">
        <f>IF($W$42=3,AI23/AA$32*1000,IF($W$42=1,AA70/AA$32*1000,AA74/AA$32*1000))</f>
        <v>#DIV/0!</v>
      </c>
      <c r="AB62" s="358" t="s">
        <v>923</v>
      </c>
      <c r="AC62" s="337"/>
      <c r="AD62" s="54"/>
      <c r="AE62" s="406" t="e">
        <f>IF($W$42=3,AP23/AP$32*1000,IF($W$42=1,AE70/AP$32*1000,AE74/AP$32*1000))</f>
        <v>#DIV/0!</v>
      </c>
      <c r="AF62" s="351" t="s">
        <v>924</v>
      </c>
      <c r="AG62" s="22"/>
      <c r="AH62" s="13"/>
      <c r="AI62" s="271"/>
    </row>
    <row r="63" spans="2:35" ht="15.6" customHeight="1" x14ac:dyDescent="0.15">
      <c r="B63" s="616"/>
      <c r="C63" s="617"/>
      <c r="D63" s="617"/>
      <c r="E63" s="617"/>
      <c r="F63" s="617"/>
      <c r="G63" s="617"/>
      <c r="H63" s="617"/>
      <c r="I63" s="617"/>
      <c r="J63" s="617"/>
      <c r="K63" s="617"/>
      <c r="L63" s="617"/>
      <c r="M63" s="617"/>
      <c r="N63" s="617"/>
      <c r="O63" s="617"/>
      <c r="P63" s="617"/>
      <c r="Q63" s="617"/>
      <c r="R63" s="618"/>
      <c r="T63" s="10"/>
      <c r="U63" s="13" t="s">
        <v>811</v>
      </c>
      <c r="V63" s="22" t="s">
        <v>159</v>
      </c>
      <c r="W63" s="407" t="e">
        <f>IF($W$42=3,AA24/W$32*1000,IF($W$42=1,W71/W$32*1000,W75/W$32*1000))</f>
        <v>#DIV/0!</v>
      </c>
      <c r="X63" s="359" t="s">
        <v>925</v>
      </c>
      <c r="Y63" s="310"/>
      <c r="Z63" s="311"/>
      <c r="AA63" s="407" t="e">
        <f>IF($W$42=3,AI24/AA$32*1000,IF($W$42=1,AA71/AA$32*1000,AA75/AA$32*1000))</f>
        <v>#DIV/0!</v>
      </c>
      <c r="AB63" s="359" t="s">
        <v>926</v>
      </c>
      <c r="AC63" s="310"/>
      <c r="AD63" s="309"/>
      <c r="AE63" s="407" t="e">
        <f>IF($W$42=3,AP24/AP$32*1000,IF($W$42=1,AE71/AP$32*1000,AE75/AP$32*1000))</f>
        <v>#DIV/0!</v>
      </c>
      <c r="AF63" s="351" t="s">
        <v>927</v>
      </c>
      <c r="AG63" s="22"/>
      <c r="AH63" s="13"/>
      <c r="AI63" s="271"/>
    </row>
    <row r="64" spans="2:35" ht="15.6" customHeight="1" x14ac:dyDescent="0.15">
      <c r="B64" s="616"/>
      <c r="C64" s="617"/>
      <c r="D64" s="617"/>
      <c r="E64" s="617"/>
      <c r="F64" s="617"/>
      <c r="G64" s="617"/>
      <c r="H64" s="617"/>
      <c r="I64" s="617"/>
      <c r="J64" s="617"/>
      <c r="K64" s="617"/>
      <c r="L64" s="617"/>
      <c r="M64" s="617"/>
      <c r="N64" s="617"/>
      <c r="O64" s="617"/>
      <c r="P64" s="617"/>
      <c r="Q64" s="617"/>
      <c r="R64" s="618"/>
      <c r="T64" s="10"/>
      <c r="U64" s="262" t="s">
        <v>809</v>
      </c>
      <c r="V64" s="13"/>
      <c r="W64" s="2"/>
      <c r="X64" s="22"/>
      <c r="Y64" s="57"/>
      <c r="Z64" s="61"/>
      <c r="AA64" s="312"/>
      <c r="AB64" s="22"/>
      <c r="AC64" s="57"/>
      <c r="AD64" s="13"/>
      <c r="AE64" s="312"/>
      <c r="AF64" s="22"/>
      <c r="AG64" s="13"/>
      <c r="AH64" s="13"/>
      <c r="AI64" s="271"/>
    </row>
    <row r="65" spans="2:38" ht="15.6" customHeight="1" x14ac:dyDescent="0.15">
      <c r="B65" s="616"/>
      <c r="C65" s="617"/>
      <c r="D65" s="617"/>
      <c r="E65" s="617"/>
      <c r="F65" s="617"/>
      <c r="G65" s="617"/>
      <c r="H65" s="617"/>
      <c r="I65" s="617"/>
      <c r="J65" s="617"/>
      <c r="K65" s="617"/>
      <c r="L65" s="617"/>
      <c r="M65" s="617"/>
      <c r="N65" s="617"/>
      <c r="O65" s="617"/>
      <c r="P65" s="617"/>
      <c r="Q65" s="617"/>
      <c r="R65" s="618"/>
      <c r="T65" s="10"/>
      <c r="U65" s="13" t="s">
        <v>812</v>
      </c>
      <c r="V65" s="22" t="s">
        <v>821</v>
      </c>
      <c r="W65" s="93" t="e">
        <f>IF(W42=2,W73/(W28*(1-E18)-W29*charFracC/fuelFracC),IF(W56&gt;0,((AA18-$N21)*44/12)/(W$56/fuelFracC)*1000,0))</f>
        <v>#DIV/0!</v>
      </c>
      <c r="X65" s="351" t="s">
        <v>902</v>
      </c>
      <c r="Y65" s="57"/>
      <c r="Z65" s="61"/>
      <c r="AA65" s="85" t="e">
        <f>IF(W42=2,AA73/(AA28*(1-E18)-AA29*charFracC/fuelFracC),IF(AA56&gt;0,((AI18-$N21)*44/12)/(AA$56/fuelFracC)*1000,0))</f>
        <v>#DIV/0!</v>
      </c>
      <c r="AB65" s="351" t="s">
        <v>903</v>
      </c>
      <c r="AC65" s="57"/>
      <c r="AD65" s="13"/>
      <c r="AE65" s="85" t="e">
        <f>IF(W42=2,AE73/(AP28*(1-E18)-AP29*charFracC/fuelFracC),IF(AE56&gt;0,((AP18-$N21)*44/12)/(AE$56/fuelFracC)*1000,0))</f>
        <v>#DIV/0!</v>
      </c>
      <c r="AF65" s="351" t="s">
        <v>904</v>
      </c>
      <c r="AG65" s="13"/>
      <c r="AH65" s="13"/>
      <c r="AI65" s="271"/>
    </row>
    <row r="66" spans="2:38" ht="15.6" customHeight="1" x14ac:dyDescent="0.15">
      <c r="B66" s="616"/>
      <c r="C66" s="617"/>
      <c r="D66" s="617"/>
      <c r="E66" s="617"/>
      <c r="F66" s="617"/>
      <c r="G66" s="617"/>
      <c r="H66" s="617"/>
      <c r="I66" s="617"/>
      <c r="J66" s="617"/>
      <c r="K66" s="617"/>
      <c r="L66" s="617"/>
      <c r="M66" s="617"/>
      <c r="N66" s="617"/>
      <c r="O66" s="617"/>
      <c r="P66" s="617"/>
      <c r="Q66" s="617"/>
      <c r="R66" s="618"/>
      <c r="T66" s="10"/>
      <c r="U66" s="13" t="s">
        <v>810</v>
      </c>
      <c r="V66" s="22" t="s">
        <v>821</v>
      </c>
      <c r="W66" s="406" t="e">
        <f>IF(W42=2,W74/(W28*(1-E18)-W29*charFracC/fuelFracC),IF(W56&gt;0,((AA19-$N22)*28/12)/(W$56/fuelFracC)*1000,0))</f>
        <v>#DIV/0!</v>
      </c>
      <c r="X66" s="351" t="s">
        <v>899</v>
      </c>
      <c r="Y66" s="325"/>
      <c r="Z66" s="326"/>
      <c r="AA66" s="406" t="e">
        <f>IF(W42=2,AA74/(AA28*(1-E18)-AA29*charFracC/fuelFracC),IF(AA56&gt;0,((AI19-$N22)*28/12)/(AA$56/fuelFracC)*1000,0))</f>
        <v>#DIV/0!</v>
      </c>
      <c r="AB66" s="351" t="s">
        <v>900</v>
      </c>
      <c r="AC66" s="325"/>
      <c r="AD66" s="324"/>
      <c r="AE66" s="406" t="e">
        <f>IF(W42=2,AE74/(AP28*(1-E18)-AP29*charFracC/fuelFracC),IF(AE56&gt;0,((AP19-$N22)*28/12)/(AE$56/fuelFracC)*1000,0))</f>
        <v>#DIV/0!</v>
      </c>
      <c r="AF66" s="351" t="s">
        <v>901</v>
      </c>
      <c r="AG66" s="13"/>
      <c r="AH66" s="13"/>
      <c r="AI66" s="271"/>
      <c r="AL66" s="394"/>
    </row>
    <row r="67" spans="2:38" ht="15.6" customHeight="1" x14ac:dyDescent="0.15">
      <c r="B67" s="616"/>
      <c r="C67" s="617"/>
      <c r="D67" s="617"/>
      <c r="E67" s="617"/>
      <c r="F67" s="617"/>
      <c r="G67" s="617"/>
      <c r="H67" s="617"/>
      <c r="I67" s="617"/>
      <c r="J67" s="617"/>
      <c r="K67" s="617"/>
      <c r="L67" s="617"/>
      <c r="M67" s="617"/>
      <c r="N67" s="617"/>
      <c r="O67" s="617"/>
      <c r="P67" s="617"/>
      <c r="Q67" s="617"/>
      <c r="R67" s="618"/>
      <c r="T67" s="10"/>
      <c r="U67" s="13" t="s">
        <v>811</v>
      </c>
      <c r="V67" s="22" t="s">
        <v>821</v>
      </c>
      <c r="W67" s="408" t="e">
        <f>IF(W42=2,W75/(W28*(1-E18)-W29*charFracC/fuelFracC),IF(W57&gt;0,(AA20-$N23)/(W$57/fuelFracC)*1000/1000000,0))</f>
        <v>#DIV/0!</v>
      </c>
      <c r="X67" s="351" t="s">
        <v>905</v>
      </c>
      <c r="Y67" s="310"/>
      <c r="Z67" s="311"/>
      <c r="AA67" s="407" t="e">
        <f>IF(W42=2,AA75/(AA28*(1-E18)-AA29*charFracC/fuelFracC),IF(AA57&gt;0,(AI20-$N23)/(AA$57/fuelFracC)*1000/1000000,0))</f>
        <v>#DIV/0!</v>
      </c>
      <c r="AB67" s="351" t="s">
        <v>906</v>
      </c>
      <c r="AC67" s="310"/>
      <c r="AD67" s="309"/>
      <c r="AE67" s="407" t="e">
        <f>IF(W42=2,AE75/(AP28*(1-E18)-AP29*charFracC/fuelFracC),IF(AE57&gt;0,(AP20-$N23)/(AE$57/fuelFracC)*1000/1000000,0))</f>
        <v>#DIV/0!</v>
      </c>
      <c r="AF67" s="351" t="s">
        <v>907</v>
      </c>
      <c r="AG67" s="13"/>
      <c r="AH67" s="13"/>
      <c r="AI67" s="271"/>
    </row>
    <row r="68" spans="2:38" ht="15.6" customHeight="1" x14ac:dyDescent="0.15">
      <c r="B68" s="616"/>
      <c r="C68" s="617"/>
      <c r="D68" s="617"/>
      <c r="E68" s="617"/>
      <c r="F68" s="617"/>
      <c r="G68" s="617"/>
      <c r="H68" s="617"/>
      <c r="I68" s="617"/>
      <c r="J68" s="617"/>
      <c r="K68" s="617"/>
      <c r="L68" s="617"/>
      <c r="M68" s="617"/>
      <c r="N68" s="617"/>
      <c r="O68" s="617"/>
      <c r="P68" s="617"/>
      <c r="Q68" s="617"/>
      <c r="R68" s="618"/>
      <c r="T68" s="10"/>
      <c r="U68" s="262" t="s">
        <v>947</v>
      </c>
      <c r="V68" s="13"/>
      <c r="W68" s="2"/>
      <c r="X68" s="22"/>
      <c r="Y68" s="57"/>
      <c r="Z68" s="61"/>
      <c r="AA68" s="312"/>
      <c r="AB68" s="22"/>
      <c r="AC68" s="57"/>
      <c r="AD68" s="13"/>
      <c r="AE68" s="312"/>
      <c r="AF68" s="22"/>
      <c r="AG68" s="13"/>
      <c r="AH68" s="13"/>
      <c r="AI68" s="271"/>
    </row>
    <row r="69" spans="2:38" ht="15.6" customHeight="1" x14ac:dyDescent="0.15">
      <c r="B69" s="616"/>
      <c r="C69" s="617"/>
      <c r="D69" s="617"/>
      <c r="E69" s="617"/>
      <c r="F69" s="617"/>
      <c r="G69" s="617"/>
      <c r="H69" s="617"/>
      <c r="I69" s="617"/>
      <c r="J69" s="617"/>
      <c r="K69" s="617"/>
      <c r="L69" s="617"/>
      <c r="M69" s="617"/>
      <c r="N69" s="617"/>
      <c r="O69" s="617"/>
      <c r="P69" s="617"/>
      <c r="Q69" s="617"/>
      <c r="R69" s="618"/>
      <c r="T69" s="10"/>
      <c r="U69" s="13" t="s">
        <v>812</v>
      </c>
      <c r="V69" s="22" t="s">
        <v>20</v>
      </c>
      <c r="W69" s="93" t="e">
        <f>W65*(W28*(1-$E$18)-W29*charFracC/fuelFracC)/1000</f>
        <v>#DIV/0!</v>
      </c>
      <c r="X69" s="360" t="s">
        <v>914</v>
      </c>
      <c r="Y69" s="361"/>
      <c r="Z69" s="362"/>
      <c r="AA69" s="85" t="e">
        <f>AA65*(AA28*(1-$E$18)-AA29*charFracC/fuelFracC)/1000</f>
        <v>#DIV/0!</v>
      </c>
      <c r="AB69" s="360" t="s">
        <v>915</v>
      </c>
      <c r="AC69" s="361"/>
      <c r="AD69" s="363"/>
      <c r="AE69" s="85" t="e">
        <f>AE65*(AP28*(1-$E$18)-AP29*charFracC/fuelFracC)/1000</f>
        <v>#DIV/0!</v>
      </c>
      <c r="AF69" s="351" t="s">
        <v>916</v>
      </c>
      <c r="AG69" s="13"/>
      <c r="AH69" s="13"/>
      <c r="AI69" s="271"/>
    </row>
    <row r="70" spans="2:38" ht="15.6" customHeight="1" x14ac:dyDescent="0.15">
      <c r="B70" s="613"/>
      <c r="C70" s="614"/>
      <c r="D70" s="614"/>
      <c r="E70" s="614"/>
      <c r="F70" s="614"/>
      <c r="G70" s="614"/>
      <c r="H70" s="614"/>
      <c r="I70" s="614"/>
      <c r="J70" s="614"/>
      <c r="K70" s="614"/>
      <c r="L70" s="614"/>
      <c r="M70" s="614"/>
      <c r="N70" s="614"/>
      <c r="O70" s="614"/>
      <c r="P70" s="614"/>
      <c r="Q70" s="614"/>
      <c r="R70" s="615"/>
      <c r="T70" s="10"/>
      <c r="U70" s="13" t="s">
        <v>810</v>
      </c>
      <c r="V70" s="22" t="s">
        <v>20</v>
      </c>
      <c r="W70" s="401" t="e">
        <f>W66*(W28*(1-$E$18)-W29*charFracC/fuelFracC)/1000</f>
        <v>#DIV/0!</v>
      </c>
      <c r="X70" s="358" t="s">
        <v>911</v>
      </c>
      <c r="Y70" s="337"/>
      <c r="Z70" s="338"/>
      <c r="AA70" s="406" t="e">
        <f>AA66*(AA28*(1-$E$18)-AA29*charFracC/fuelFracC)/1000</f>
        <v>#DIV/0!</v>
      </c>
      <c r="AB70" s="358" t="s">
        <v>912</v>
      </c>
      <c r="AC70" s="337"/>
      <c r="AD70" s="54"/>
      <c r="AE70" s="406" t="e">
        <f>AE66*(AP28*(1-$E$18)-AP29*charFracC/fuelFracC)/1000</f>
        <v>#DIV/0!</v>
      </c>
      <c r="AF70" s="351" t="s">
        <v>913</v>
      </c>
      <c r="AG70" s="13"/>
      <c r="AH70" s="13"/>
      <c r="AI70" s="271"/>
    </row>
    <row r="71" spans="2:38" ht="15.6" customHeight="1" x14ac:dyDescent="0.15">
      <c r="T71" s="10"/>
      <c r="U71" s="13" t="s">
        <v>811</v>
      </c>
      <c r="V71" s="22" t="s">
        <v>20</v>
      </c>
      <c r="W71" s="408" t="e">
        <f>W67*(W28*(1-$E$18)-W29*charFracC/fuelFracC)/1000</f>
        <v>#DIV/0!</v>
      </c>
      <c r="X71" s="359" t="s">
        <v>908</v>
      </c>
      <c r="Y71" s="310"/>
      <c r="Z71" s="311"/>
      <c r="AA71" s="407" t="e">
        <f>AA67*(AA28*(1-$E$18)-AA29*charFracC/fuelFracC)/1000</f>
        <v>#DIV/0!</v>
      </c>
      <c r="AB71" s="359" t="s">
        <v>909</v>
      </c>
      <c r="AC71" s="310"/>
      <c r="AD71" s="309"/>
      <c r="AE71" s="407" t="e">
        <f>AE67*(AP28*(1-$E$18)-AP29*charFracC/fuelFracC)/1000</f>
        <v>#DIV/0!</v>
      </c>
      <c r="AF71" s="351" t="s">
        <v>910</v>
      </c>
      <c r="AG71" s="13"/>
      <c r="AH71" s="13"/>
      <c r="AI71" s="271"/>
    </row>
    <row r="72" spans="2:38" ht="15.6" customHeight="1" x14ac:dyDescent="0.15">
      <c r="T72" s="10"/>
      <c r="U72" s="262" t="s">
        <v>948</v>
      </c>
      <c r="V72" s="13"/>
      <c r="W72" s="312"/>
      <c r="X72" s="22"/>
      <c r="Y72" s="57"/>
      <c r="Z72" s="61"/>
      <c r="AA72" s="2"/>
      <c r="AB72" s="22"/>
      <c r="AC72" s="57"/>
      <c r="AD72" s="13"/>
      <c r="AE72" s="312"/>
      <c r="AF72" s="22"/>
      <c r="AG72" s="13"/>
      <c r="AH72" s="21"/>
    </row>
    <row r="73" spans="2:38" ht="15.6" customHeight="1" x14ac:dyDescent="0.15">
      <c r="T73" s="10"/>
      <c r="U73" s="13" t="s">
        <v>812</v>
      </c>
      <c r="V73" s="22" t="s">
        <v>20</v>
      </c>
      <c r="W73" s="85">
        <f>W55*(AA18-N21)*(44*'General Information'!C22)/(0.008314*(AA21+273.15))/1000000</f>
        <v>0</v>
      </c>
      <c r="X73" s="360" t="s">
        <v>914</v>
      </c>
      <c r="Y73" s="361"/>
      <c r="Z73" s="362"/>
      <c r="AA73" s="93">
        <f>AA55*(AI18-N21)*(44*'General Information'!C22)/(0.008314*(AI21+273.15))/1000000</f>
        <v>0</v>
      </c>
      <c r="AB73" s="360" t="s">
        <v>915</v>
      </c>
      <c r="AC73" s="361"/>
      <c r="AD73" s="363"/>
      <c r="AE73" s="85">
        <f>AE55*(AP18-N21)*(44*'General Information'!C22)/(0.008314*(AP21+273.15))/1000000</f>
        <v>0</v>
      </c>
      <c r="AF73" s="351" t="s">
        <v>916</v>
      </c>
      <c r="AG73" s="13"/>
      <c r="AH73" s="21"/>
    </row>
    <row r="74" spans="2:38" ht="15.6" customHeight="1" x14ac:dyDescent="0.15">
      <c r="T74" s="10"/>
      <c r="U74" s="13" t="s">
        <v>810</v>
      </c>
      <c r="V74" s="22" t="s">
        <v>20</v>
      </c>
      <c r="W74" s="406">
        <f>W55*(AA19-N22)*(28*'General Information'!C22)/(0.008314*(AA21+273.15))/1000000</f>
        <v>0</v>
      </c>
      <c r="X74" s="358" t="s">
        <v>911</v>
      </c>
      <c r="Y74" s="337"/>
      <c r="Z74" s="338"/>
      <c r="AA74" s="401">
        <f>AA55*(AI19-N22)*(28*'General Information'!C22)/(0.008314*(AI21+273.15))/1000000</f>
        <v>0</v>
      </c>
      <c r="AB74" s="358" t="s">
        <v>912</v>
      </c>
      <c r="AC74" s="337"/>
      <c r="AD74" s="54"/>
      <c r="AE74" s="406">
        <f>AE55*(AP19-N22)*(28*'General Information'!C22)/(0.008314*(AP21+273.15))/1000000</f>
        <v>0</v>
      </c>
      <c r="AF74" s="351" t="s">
        <v>913</v>
      </c>
      <c r="AG74" s="13"/>
      <c r="AH74" s="21"/>
    </row>
    <row r="75" spans="2:38" ht="15.6" customHeight="1" thickBot="1" x14ac:dyDescent="0.2">
      <c r="T75" s="10"/>
      <c r="U75" s="13" t="s">
        <v>811</v>
      </c>
      <c r="V75" s="22" t="s">
        <v>20</v>
      </c>
      <c r="W75" s="407">
        <f>W55*(AA20-N23)/1000000</f>
        <v>0</v>
      </c>
      <c r="X75" s="359" t="s">
        <v>908</v>
      </c>
      <c r="Y75" s="310"/>
      <c r="Z75" s="311"/>
      <c r="AA75" s="408">
        <f>AA55*(AI20-N23)/1000000</f>
        <v>0</v>
      </c>
      <c r="AB75" s="359" t="s">
        <v>909</v>
      </c>
      <c r="AC75" s="310"/>
      <c r="AD75" s="309"/>
      <c r="AE75" s="407">
        <f>AE55*(AP20-N23)/1000000</f>
        <v>0</v>
      </c>
      <c r="AF75" s="351" t="s">
        <v>910</v>
      </c>
      <c r="AG75" s="13"/>
      <c r="AH75" s="21"/>
    </row>
    <row r="76" spans="2:38" ht="15.6" customHeight="1" thickTop="1" x14ac:dyDescent="0.15">
      <c r="T76" s="258"/>
      <c r="U76" s="259" t="s">
        <v>818</v>
      </c>
      <c r="V76" s="259"/>
      <c r="W76" s="313"/>
      <c r="X76" s="352"/>
      <c r="Y76" s="259"/>
      <c r="Z76" s="259"/>
      <c r="AA76" s="259"/>
      <c r="AB76" s="259"/>
      <c r="AC76" s="259"/>
      <c r="AD76" s="259"/>
      <c r="AE76" s="259"/>
      <c r="AF76" s="259"/>
      <c r="AG76" s="259"/>
      <c r="AH76" s="297"/>
    </row>
    <row r="77" spans="2:38" ht="15" customHeight="1" x14ac:dyDescent="0.15">
      <c r="T77" s="10"/>
      <c r="U77" s="13" t="s">
        <v>819</v>
      </c>
      <c r="V77" s="13" t="s">
        <v>20</v>
      </c>
      <c r="W77" s="406" t="e">
        <f>(IF(ISERROR(AA$38),W62,AVERAGE(W62,AA62))+AE62)*5</f>
        <v>#DIV/0!</v>
      </c>
      <c r="X77" s="22" t="s">
        <v>917</v>
      </c>
      <c r="Y77" s="13"/>
      <c r="Z77" s="13"/>
      <c r="AA77" s="13"/>
      <c r="AB77" s="13"/>
      <c r="AC77" s="13"/>
      <c r="AD77" s="13"/>
      <c r="AE77" s="13"/>
      <c r="AF77" s="13"/>
      <c r="AG77" s="13"/>
      <c r="AH77" s="21"/>
    </row>
    <row r="78" spans="2:38" ht="15" customHeight="1" thickBot="1" x14ac:dyDescent="0.2">
      <c r="T78" s="113"/>
      <c r="U78" s="114" t="s">
        <v>820</v>
      </c>
      <c r="V78" s="114" t="s">
        <v>20</v>
      </c>
      <c r="W78" s="409" t="e">
        <f>(IF(ISERROR(AA$38),W63,AVERAGE(W63,AA63))+AE63)*5</f>
        <v>#DIV/0!</v>
      </c>
      <c r="X78" s="115" t="s">
        <v>918</v>
      </c>
      <c r="Y78" s="114"/>
      <c r="Z78" s="114"/>
      <c r="AA78" s="114"/>
      <c r="AB78" s="114"/>
      <c r="AC78" s="114"/>
      <c r="AD78" s="114"/>
      <c r="AE78" s="114"/>
      <c r="AF78" s="114"/>
      <c r="AG78" s="114"/>
      <c r="AH78" s="298"/>
    </row>
    <row r="79" spans="2:38" ht="15" customHeight="1" thickTop="1" x14ac:dyDescent="0.15"/>
  </sheetData>
  <mergeCells count="82">
    <mergeCell ref="M8:P8"/>
    <mergeCell ref="B19:D19"/>
    <mergeCell ref="B35:R35"/>
    <mergeCell ref="B34:R34"/>
    <mergeCell ref="B32:R32"/>
    <mergeCell ref="B18:D18"/>
    <mergeCell ref="B33:R33"/>
    <mergeCell ref="AL16:AM16"/>
    <mergeCell ref="B16:D16"/>
    <mergeCell ref="K16:M16"/>
    <mergeCell ref="B21:D21"/>
    <mergeCell ref="E25:R25"/>
    <mergeCell ref="B20:D20"/>
    <mergeCell ref="K18:M18"/>
    <mergeCell ref="E17:G17"/>
    <mergeCell ref="W16:X16"/>
    <mergeCell ref="W3:X3"/>
    <mergeCell ref="AA3:AB3"/>
    <mergeCell ref="W2:AB2"/>
    <mergeCell ref="AE2:AJ2"/>
    <mergeCell ref="AE16:AF16"/>
    <mergeCell ref="AL2:AQ2"/>
    <mergeCell ref="AL3:AM3"/>
    <mergeCell ref="AP3:AQ3"/>
    <mergeCell ref="AE3:AF3"/>
    <mergeCell ref="AI3:AJ3"/>
    <mergeCell ref="AL4:AM4"/>
    <mergeCell ref="AP4:AQ4"/>
    <mergeCell ref="B47:R47"/>
    <mergeCell ref="D10:K10"/>
    <mergeCell ref="B14:D14"/>
    <mergeCell ref="D11:K11"/>
    <mergeCell ref="AA4:AB4"/>
    <mergeCell ref="AI4:AJ4"/>
    <mergeCell ref="D8:K8"/>
    <mergeCell ref="D9:K9"/>
    <mergeCell ref="B15:D15"/>
    <mergeCell ref="K15:M15"/>
    <mergeCell ref="K19:M19"/>
    <mergeCell ref="K20:M20"/>
    <mergeCell ref="B23:D23"/>
    <mergeCell ref="K17:M17"/>
    <mergeCell ref="A2:S2"/>
    <mergeCell ref="B48:R48"/>
    <mergeCell ref="B40:R40"/>
    <mergeCell ref="B39:R39"/>
    <mergeCell ref="B42:R42"/>
    <mergeCell ref="B43:R43"/>
    <mergeCell ref="B44:R44"/>
    <mergeCell ref="B45:R45"/>
    <mergeCell ref="M6:P6"/>
    <mergeCell ref="M7:P7"/>
    <mergeCell ref="D6:K6"/>
    <mergeCell ref="D7:K7"/>
    <mergeCell ref="B31:R31"/>
    <mergeCell ref="B30:R30"/>
    <mergeCell ref="B29:R29"/>
    <mergeCell ref="B28:R28"/>
    <mergeCell ref="B70:R70"/>
    <mergeCell ref="B26:R26"/>
    <mergeCell ref="B66:R66"/>
    <mergeCell ref="B67:R67"/>
    <mergeCell ref="B69:R69"/>
    <mergeCell ref="B61:R61"/>
    <mergeCell ref="B62:R62"/>
    <mergeCell ref="B41:R41"/>
    <mergeCell ref="B46:R46"/>
    <mergeCell ref="B52:R52"/>
    <mergeCell ref="B27:R27"/>
    <mergeCell ref="B68:R68"/>
    <mergeCell ref="B56:R56"/>
    <mergeCell ref="B58:R58"/>
    <mergeCell ref="B59:R59"/>
    <mergeCell ref="B50:R50"/>
    <mergeCell ref="B64:R64"/>
    <mergeCell ref="B65:R65"/>
    <mergeCell ref="B55:R55"/>
    <mergeCell ref="B51:R51"/>
    <mergeCell ref="B53:R53"/>
    <mergeCell ref="B54:R54"/>
    <mergeCell ref="B57:R57"/>
    <mergeCell ref="B63:R63"/>
  </mergeCells>
  <phoneticPr fontId="4" type="noConversion"/>
  <conditionalFormatting sqref="W28:W40 AA28:AA40 AP28:AP41 AE44:AF51 W55:W75 AA55:AA75 AE55:AE75 W77:W78">
    <cfRule type="containsErrors" dxfId="11" priority="2" stopIfTrue="1">
      <formula>ISERROR(W28)</formula>
    </cfRule>
  </conditionalFormatting>
  <pageMargins left="0.74791666666666667" right="0.74791666666666667" top="0.75" bottom="0.75" header="0.51180555555555551" footer="0.5"/>
  <pageSetup scale="90" firstPageNumber="0" orientation="landscape" horizontalDpi="300" verticalDpi="300" r:id="rId1"/>
  <headerFooter alignWithMargins="0">
    <oddFooter>&amp;L&amp;F&amp;C&amp;A&amp;RPage &amp;P</oddFooter>
  </headerFooter>
  <rowBreaks count="1" manualBreakCount="1">
    <brk id="37" max="16383" man="1"/>
  </rowBreaks>
  <colBreaks count="2" manualBreakCount="2">
    <brk id="19" max="1048575" man="1"/>
    <brk id="52" max="1048575" man="1"/>
  </colBreaks>
  <ignoredErrors>
    <ignoredError sqref="E19 E22:E23 N20 D9:K11"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1268" r:id="rId4" name="ComboBox">
              <controlPr defaultSize="0" autoFill="0" autoLine="0" autoPict="0">
                <anchor moveWithCells="1" sizeWithCells="1">
                  <from>
                    <xdr:col>3</xdr:col>
                    <xdr:colOff>838200</xdr:colOff>
                    <xdr:row>15</xdr:row>
                    <xdr:rowOff>28575</xdr:rowOff>
                  </from>
                  <to>
                    <xdr:col>7</xdr:col>
                    <xdr:colOff>123825</xdr:colOff>
                    <xdr:row>16</xdr:row>
                    <xdr:rowOff>28575</xdr:rowOff>
                  </to>
                </anchor>
              </controlPr>
            </control>
          </mc:Choice>
        </mc:AlternateContent>
        <mc:AlternateContent xmlns:mc="http://schemas.openxmlformats.org/markup-compatibility/2006">
          <mc:Choice Requires="x14">
            <control shapeId="11332" r:id="rId5" name="Drop Down 68">
              <controlPr defaultSize="0" autoLine="0" autoPict="0">
                <anchor moveWithCells="1">
                  <from>
                    <xdr:col>21</xdr:col>
                    <xdr:colOff>0</xdr:colOff>
                    <xdr:row>41</xdr:row>
                    <xdr:rowOff>9525</xdr:rowOff>
                  </from>
                  <to>
                    <xdr:col>22</xdr:col>
                    <xdr:colOff>619125</xdr:colOff>
                    <xdr:row>42</xdr:row>
                    <xdr:rowOff>9525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dimension ref="A1:DU79"/>
  <sheetViews>
    <sheetView showGridLines="0" showZeros="0" zoomScaleNormal="100" zoomScaleSheetLayoutView="100" workbookViewId="0">
      <selection activeCell="D6" sqref="D6:K6"/>
    </sheetView>
  </sheetViews>
  <sheetFormatPr defaultColWidth="15.640625" defaultRowHeight="27.95" customHeight="1" x14ac:dyDescent="0.15"/>
  <cols>
    <col min="1" max="1" width="1.75" style="1" customWidth="1"/>
    <col min="2" max="2" width="14.5625" style="1" customWidth="1"/>
    <col min="3" max="3" width="6.60546875" style="2" customWidth="1"/>
    <col min="4" max="4" width="12.67578125" style="1" customWidth="1"/>
    <col min="5" max="5" width="8.08984375" style="1" customWidth="1"/>
    <col min="6" max="6" width="2.01953125" style="1" customWidth="1"/>
    <col min="7" max="7" width="5.93359375" style="1" customWidth="1"/>
    <col min="8" max="8" width="2.01953125" style="2" customWidth="1"/>
    <col min="9" max="9" width="7.28125" style="2" customWidth="1"/>
    <col min="10" max="10" width="1.75" style="2" customWidth="1"/>
    <col min="11" max="11" width="14.42578125" style="2" customWidth="1"/>
    <col min="12" max="12" width="5.66015625" style="2" customWidth="1"/>
    <col min="13" max="13" width="14.5625" style="2" customWidth="1"/>
    <col min="14" max="14" width="7.68359375" style="2" customWidth="1"/>
    <col min="15" max="15" width="2.01953125" style="2" customWidth="1"/>
    <col min="16" max="16" width="6.60546875" style="2" customWidth="1"/>
    <col min="17" max="17" width="2.01953125" style="2" customWidth="1"/>
    <col min="18" max="18" width="7.28125" style="2" customWidth="1"/>
    <col min="19" max="19" width="1.75" style="1" customWidth="1"/>
    <col min="20" max="20" width="1.75" style="3" customWidth="1"/>
    <col min="21" max="21" width="25.484375" style="3" customWidth="1"/>
    <col min="22" max="22" width="13.88671875" style="3" bestFit="1" customWidth="1"/>
    <col min="23" max="23" width="12" style="3" customWidth="1"/>
    <col min="24" max="24" width="5.390625" style="3" customWidth="1"/>
    <col min="25" max="25" width="0.5390625" style="3" customWidth="1"/>
    <col min="26" max="26" width="0.80859375" style="3" customWidth="1"/>
    <col min="27" max="27" width="8.76171875" style="3" customWidth="1"/>
    <col min="28" max="28" width="6.7421875" style="3" customWidth="1"/>
    <col min="29" max="30" width="0.80859375" style="3" customWidth="1"/>
    <col min="31" max="31" width="8.08984375" style="3" customWidth="1"/>
    <col min="32" max="32" width="5.796875" style="3" customWidth="1"/>
    <col min="33" max="33" width="0.80859375" style="3" customWidth="1"/>
    <col min="34" max="34" width="0.671875" style="3" customWidth="1"/>
    <col min="35" max="35" width="8.08984375" style="3" customWidth="1"/>
    <col min="36" max="36" width="5.12109375" style="3" customWidth="1"/>
    <col min="37" max="37" width="0.80859375" style="3" customWidth="1"/>
    <col min="38" max="38" width="8.62890625" style="3" customWidth="1"/>
    <col min="39" max="39" width="7.28125" style="3" customWidth="1"/>
    <col min="40" max="41" width="0.94140625" style="3" customWidth="1"/>
    <col min="42" max="42" width="8.08984375" style="3" customWidth="1"/>
    <col min="43" max="43" width="6.203125" style="3" customWidth="1"/>
    <col min="44" max="44" width="1.75" style="3" customWidth="1"/>
    <col min="45" max="45" width="8.359375" customWidth="1"/>
    <col min="46" max="46" width="5.796875" customWidth="1"/>
    <col min="47" max="47" width="6.47265625" customWidth="1"/>
    <col min="48" max="48" width="5.390625" customWidth="1"/>
    <col min="49" max="49" width="6.7421875" customWidth="1"/>
    <col min="50" max="50" width="7.4140625" customWidth="1"/>
    <col min="51" max="51" width="20.90234375" customWidth="1"/>
    <col min="52" max="53" width="1.75" customWidth="1"/>
    <col min="54" max="54" width="33.7109375" customWidth="1"/>
    <col min="55" max="55" width="5.796875" customWidth="1"/>
    <col min="56" max="56" width="6.47265625" customWidth="1"/>
    <col min="57" max="57" width="5.390625" customWidth="1"/>
    <col min="58" max="58" width="6.7421875" customWidth="1"/>
    <col min="59" max="59" width="7.4140625" customWidth="1"/>
    <col min="60" max="60" width="20.90234375" customWidth="1"/>
    <col min="61" max="61" width="0" hidden="1" customWidth="1"/>
    <col min="62" max="70" width="9.03515625" customWidth="1"/>
    <col min="71" max="122" width="8.8984375" customWidth="1"/>
    <col min="123" max="16384" width="15.640625" style="1"/>
  </cols>
  <sheetData>
    <row r="1" spans="1:125" ht="6" customHeight="1" thickTop="1" thickBot="1" x14ac:dyDescent="0.2">
      <c r="A1" s="4"/>
      <c r="B1" s="5"/>
      <c r="C1" s="5"/>
      <c r="D1" s="5"/>
      <c r="E1" s="5"/>
      <c r="F1" s="5"/>
      <c r="G1" s="5"/>
      <c r="H1" s="5"/>
      <c r="I1" s="5"/>
      <c r="J1" s="5"/>
      <c r="K1" s="5"/>
      <c r="L1" s="5"/>
      <c r="M1" s="5"/>
      <c r="N1" s="5"/>
      <c r="O1" s="5"/>
      <c r="P1" s="5"/>
      <c r="Q1" s="5"/>
      <c r="R1" s="5"/>
      <c r="S1" s="6"/>
      <c r="T1" s="7"/>
      <c r="U1" s="8"/>
      <c r="V1" s="8"/>
      <c r="W1" s="8"/>
      <c r="X1" s="8"/>
      <c r="Y1" s="8"/>
      <c r="Z1" s="8"/>
      <c r="AA1" s="8"/>
      <c r="AB1" s="8"/>
      <c r="AC1" s="8"/>
      <c r="AD1" s="8"/>
      <c r="AE1" s="8"/>
      <c r="AF1" s="8"/>
      <c r="AG1" s="8"/>
      <c r="AH1" s="8"/>
      <c r="AI1" s="8"/>
      <c r="AJ1" s="8"/>
      <c r="AK1" s="8"/>
      <c r="AL1" s="8"/>
      <c r="AM1" s="8"/>
      <c r="AN1" s="8"/>
      <c r="AO1" s="8"/>
      <c r="AP1" s="8"/>
      <c r="AQ1" s="8"/>
      <c r="AR1" s="9"/>
      <c r="AS1" s="25"/>
      <c r="AT1" s="2"/>
      <c r="DS1"/>
      <c r="DT1"/>
      <c r="DU1"/>
    </row>
    <row r="2" spans="1:125" ht="13.5" customHeight="1" thickBot="1" x14ac:dyDescent="0.2">
      <c r="A2" s="637" t="str">
        <f>"WATER BOILING TEST - VERSION "&amp;version&amp;" - TEST #4"</f>
        <v>WATER BOILING TEST - VERSION 4.2.3 - TEST #4</v>
      </c>
      <c r="B2" s="637"/>
      <c r="C2" s="637"/>
      <c r="D2" s="637"/>
      <c r="E2" s="637"/>
      <c r="F2" s="637"/>
      <c r="G2" s="637"/>
      <c r="H2" s="637"/>
      <c r="I2" s="637"/>
      <c r="J2" s="637"/>
      <c r="K2" s="637"/>
      <c r="L2" s="637"/>
      <c r="M2" s="637"/>
      <c r="N2" s="637"/>
      <c r="O2" s="637"/>
      <c r="P2" s="637"/>
      <c r="Q2" s="637"/>
      <c r="R2" s="637"/>
      <c r="S2" s="637"/>
      <c r="T2" s="10"/>
      <c r="U2" s="255" t="str">
        <f>"TEST #4 "&amp;D7</f>
        <v xml:space="preserve">TEST #4 </v>
      </c>
      <c r="V2" s="11"/>
      <c r="W2" s="638" t="s">
        <v>0</v>
      </c>
      <c r="X2" s="638"/>
      <c r="Y2" s="638"/>
      <c r="Z2" s="638"/>
      <c r="AA2" s="638"/>
      <c r="AB2" s="638"/>
      <c r="AC2" s="256"/>
      <c r="AD2" s="12"/>
      <c r="AE2" s="638" t="s">
        <v>1</v>
      </c>
      <c r="AF2" s="638"/>
      <c r="AG2" s="638"/>
      <c r="AH2" s="638"/>
      <c r="AI2" s="638"/>
      <c r="AJ2" s="638"/>
      <c r="AK2" s="13"/>
      <c r="AL2" s="638" t="s">
        <v>2</v>
      </c>
      <c r="AM2" s="638"/>
      <c r="AN2" s="638"/>
      <c r="AO2" s="638"/>
      <c r="AP2" s="638"/>
      <c r="AQ2" s="638"/>
      <c r="AR2" s="14"/>
    </row>
    <row r="3" spans="1:125" ht="12.75" customHeight="1" x14ac:dyDescent="0.15">
      <c r="A3" s="16"/>
      <c r="B3" s="17" t="s">
        <v>748</v>
      </c>
      <c r="C3" s="17"/>
      <c r="D3" s="17"/>
      <c r="E3" s="17"/>
      <c r="F3" s="17"/>
      <c r="G3" s="17"/>
      <c r="H3" s="17"/>
      <c r="I3" s="17"/>
      <c r="J3" s="17"/>
      <c r="K3" s="17"/>
      <c r="L3" s="17"/>
      <c r="M3" s="17"/>
      <c r="N3" s="17"/>
      <c r="O3" s="17"/>
      <c r="P3" s="17"/>
      <c r="Q3" s="17"/>
      <c r="R3" s="17"/>
      <c r="S3" s="18"/>
      <c r="T3" s="19"/>
      <c r="U3" s="20"/>
      <c r="V3" s="21"/>
      <c r="W3" s="641" t="s">
        <v>3</v>
      </c>
      <c r="X3" s="641"/>
      <c r="Y3" s="23"/>
      <c r="Z3" s="13"/>
      <c r="AA3" s="642" t="s">
        <v>4</v>
      </c>
      <c r="AB3" s="642"/>
      <c r="AC3" s="24"/>
      <c r="AD3" s="12"/>
      <c r="AE3" s="643" t="s">
        <v>3</v>
      </c>
      <c r="AF3" s="643"/>
      <c r="AG3" s="23"/>
      <c r="AH3" s="13"/>
      <c r="AI3" s="642" t="s">
        <v>4</v>
      </c>
      <c r="AJ3" s="642"/>
      <c r="AK3" s="12"/>
      <c r="AL3" s="639" t="s">
        <v>3</v>
      </c>
      <c r="AM3" s="639"/>
      <c r="AN3" s="23"/>
      <c r="AO3" s="13"/>
      <c r="AP3" s="640" t="s">
        <v>5</v>
      </c>
      <c r="AQ3" s="640"/>
      <c r="AR3" s="14"/>
    </row>
    <row r="4" spans="1:125" ht="12.75" customHeight="1" x14ac:dyDescent="0.15">
      <c r="A4" s="25"/>
      <c r="B4" s="26" t="s">
        <v>749</v>
      </c>
      <c r="C4" s="26"/>
      <c r="D4" s="26"/>
      <c r="E4" s="26"/>
      <c r="F4" s="26"/>
      <c r="G4" s="26"/>
      <c r="H4" s="26"/>
      <c r="I4" s="26"/>
      <c r="J4" s="27"/>
      <c r="K4" s="27"/>
      <c r="L4" s="27"/>
      <c r="M4" s="27"/>
      <c r="N4" s="27"/>
      <c r="O4" s="27"/>
      <c r="P4" s="27"/>
      <c r="Q4" s="27"/>
      <c r="R4" s="27"/>
      <c r="S4" s="15"/>
      <c r="T4" s="28"/>
      <c r="U4" s="29"/>
      <c r="V4" s="30"/>
      <c r="W4" s="31"/>
      <c r="X4" s="31"/>
      <c r="Y4" s="32"/>
      <c r="Z4" s="33"/>
      <c r="AA4" s="631" t="s">
        <v>6</v>
      </c>
      <c r="AB4" s="631"/>
      <c r="AC4" s="24"/>
      <c r="AD4" s="12"/>
      <c r="AE4" s="31"/>
      <c r="AF4" s="31"/>
      <c r="AG4" s="32"/>
      <c r="AH4" s="33"/>
      <c r="AI4" s="631" t="s">
        <v>6</v>
      </c>
      <c r="AJ4" s="631"/>
      <c r="AK4" s="12"/>
      <c r="AL4" s="633"/>
      <c r="AM4" s="633"/>
      <c r="AN4" s="34"/>
      <c r="AO4" s="31"/>
      <c r="AP4" s="644"/>
      <c r="AQ4" s="644"/>
      <c r="AR4" s="14"/>
    </row>
    <row r="5" spans="1:125" ht="13.5" customHeight="1" thickBot="1" x14ac:dyDescent="0.2">
      <c r="A5" s="25"/>
      <c r="B5" s="35" t="s">
        <v>7</v>
      </c>
      <c r="D5" s="2"/>
      <c r="E5" s="2"/>
      <c r="F5" s="2"/>
      <c r="G5" s="2"/>
      <c r="S5" s="15"/>
      <c r="T5" s="28"/>
      <c r="U5" s="36" t="s">
        <v>8</v>
      </c>
      <c r="V5" s="37" t="s">
        <v>9</v>
      </c>
      <c r="W5" s="38" t="s">
        <v>10</v>
      </c>
      <c r="X5" s="38" t="s">
        <v>11</v>
      </c>
      <c r="Y5" s="39"/>
      <c r="Z5" s="38"/>
      <c r="AA5" s="38" t="s">
        <v>10</v>
      </c>
      <c r="AB5" s="37" t="s">
        <v>11</v>
      </c>
      <c r="AC5" s="24"/>
      <c r="AD5" s="12"/>
      <c r="AE5" s="38" t="s">
        <v>10</v>
      </c>
      <c r="AF5" s="38" t="s">
        <v>11</v>
      </c>
      <c r="AG5" s="40"/>
      <c r="AH5" s="41"/>
      <c r="AI5" s="38" t="s">
        <v>10</v>
      </c>
      <c r="AJ5" s="37" t="s">
        <v>11</v>
      </c>
      <c r="AK5" s="12"/>
      <c r="AL5" s="38" t="s">
        <v>10</v>
      </c>
      <c r="AM5" s="38" t="s">
        <v>11</v>
      </c>
      <c r="AN5" s="40"/>
      <c r="AO5" s="41"/>
      <c r="AP5" s="38" t="s">
        <v>10</v>
      </c>
      <c r="AQ5" s="37" t="s">
        <v>11</v>
      </c>
      <c r="AR5" s="14"/>
    </row>
    <row r="6" spans="1:125" ht="15.75" customHeight="1" x14ac:dyDescent="0.2">
      <c r="A6" s="25"/>
      <c r="B6" s="2" t="s">
        <v>12</v>
      </c>
      <c r="D6" s="629"/>
      <c r="E6" s="629"/>
      <c r="F6" s="629"/>
      <c r="G6" s="629"/>
      <c r="H6" s="629"/>
      <c r="I6" s="629"/>
      <c r="J6" s="629"/>
      <c r="K6" s="629"/>
      <c r="M6" s="635" t="s">
        <v>834</v>
      </c>
      <c r="N6" s="635"/>
      <c r="O6" s="635"/>
      <c r="P6" s="635"/>
      <c r="Q6" s="265"/>
      <c r="R6" s="265"/>
      <c r="S6" s="15"/>
      <c r="T6" s="28"/>
      <c r="U6" s="30" t="s">
        <v>716</v>
      </c>
      <c r="V6" s="24" t="s">
        <v>13</v>
      </c>
      <c r="W6" s="42"/>
      <c r="X6" s="43" t="s">
        <v>14</v>
      </c>
      <c r="Y6" s="44"/>
      <c r="Z6" s="43"/>
      <c r="AA6" s="42"/>
      <c r="AB6" s="45" t="s">
        <v>15</v>
      </c>
      <c r="AC6" s="45"/>
      <c r="AD6" s="12"/>
      <c r="AE6" s="42"/>
      <c r="AF6" s="43" t="s">
        <v>16</v>
      </c>
      <c r="AG6" s="46"/>
      <c r="AH6" s="13"/>
      <c r="AI6" s="42"/>
      <c r="AJ6" s="45" t="s">
        <v>17</v>
      </c>
      <c r="AK6" s="12"/>
      <c r="AL6" s="42"/>
      <c r="AM6" s="43" t="s">
        <v>18</v>
      </c>
      <c r="AN6" s="46"/>
      <c r="AO6" s="13"/>
      <c r="AP6" s="42"/>
      <c r="AQ6" s="45" t="s">
        <v>19</v>
      </c>
      <c r="AR6" s="14"/>
    </row>
    <row r="7" spans="1:125" ht="15.75" customHeight="1" x14ac:dyDescent="0.2">
      <c r="A7" s="25"/>
      <c r="B7" s="2" t="s">
        <v>27</v>
      </c>
      <c r="D7" s="629"/>
      <c r="E7" s="629"/>
      <c r="F7" s="629"/>
      <c r="G7" s="629"/>
      <c r="H7" s="629"/>
      <c r="I7" s="629"/>
      <c r="J7" s="629"/>
      <c r="K7" s="629"/>
      <c r="M7" s="663" t="s">
        <v>969</v>
      </c>
      <c r="N7" s="663"/>
      <c r="O7" s="663"/>
      <c r="P7" s="663"/>
      <c r="Q7" s="265"/>
      <c r="R7" s="265"/>
      <c r="S7" s="15"/>
      <c r="T7" s="28"/>
      <c r="U7" s="30" t="s">
        <v>873</v>
      </c>
      <c r="V7" s="24" t="s">
        <v>20</v>
      </c>
      <c r="W7" s="47"/>
      <c r="X7" s="43" t="s">
        <v>21</v>
      </c>
      <c r="Y7" s="44"/>
      <c r="Z7" s="43"/>
      <c r="AA7" s="47"/>
      <c r="AB7" s="45" t="s">
        <v>22</v>
      </c>
      <c r="AC7" s="45"/>
      <c r="AD7" s="12"/>
      <c r="AE7" s="47"/>
      <c r="AF7" s="43" t="s">
        <v>23</v>
      </c>
      <c r="AG7" s="46"/>
      <c r="AH7" s="13"/>
      <c r="AI7" s="47"/>
      <c r="AJ7" s="45" t="s">
        <v>24</v>
      </c>
      <c r="AK7" s="12"/>
      <c r="AL7" s="47"/>
      <c r="AM7" s="43" t="s">
        <v>25</v>
      </c>
      <c r="AN7" s="46"/>
      <c r="AO7" s="13"/>
      <c r="AP7" s="47"/>
      <c r="AQ7" s="45" t="s">
        <v>26</v>
      </c>
      <c r="AR7" s="14"/>
    </row>
    <row r="8" spans="1:125" ht="15.75" customHeight="1" x14ac:dyDescent="0.2">
      <c r="A8" s="25"/>
      <c r="B8" s="2" t="s">
        <v>36</v>
      </c>
      <c r="D8" s="628"/>
      <c r="E8" s="629"/>
      <c r="F8" s="629"/>
      <c r="G8" s="629"/>
      <c r="H8" s="629"/>
      <c r="I8" s="629"/>
      <c r="J8" s="629"/>
      <c r="K8" s="629"/>
      <c r="M8" s="656" t="s">
        <v>953</v>
      </c>
      <c r="N8" s="656"/>
      <c r="O8" s="656"/>
      <c r="P8" s="656"/>
      <c r="Q8" s="265"/>
      <c r="R8" s="265"/>
      <c r="S8" s="15"/>
      <c r="T8" s="28"/>
      <c r="U8" s="30" t="s">
        <v>28</v>
      </c>
      <c r="V8" s="24" t="s">
        <v>29</v>
      </c>
      <c r="W8" s="48"/>
      <c r="X8" s="49" t="s">
        <v>30</v>
      </c>
      <c r="Y8" s="50"/>
      <c r="Z8" s="49"/>
      <c r="AA8" s="48"/>
      <c r="AB8" s="51" t="s">
        <v>31</v>
      </c>
      <c r="AC8" s="51"/>
      <c r="AD8" s="52"/>
      <c r="AE8" s="48"/>
      <c r="AF8" s="49" t="s">
        <v>32</v>
      </c>
      <c r="AG8" s="53"/>
      <c r="AH8" s="54"/>
      <c r="AI8" s="48"/>
      <c r="AJ8" s="45" t="s">
        <v>33</v>
      </c>
      <c r="AK8" s="12"/>
      <c r="AL8" s="48"/>
      <c r="AM8" s="43" t="s">
        <v>34</v>
      </c>
      <c r="AN8" s="46"/>
      <c r="AO8" s="13"/>
      <c r="AP8" s="48"/>
      <c r="AQ8" s="45" t="s">
        <v>35</v>
      </c>
      <c r="AR8" s="14"/>
    </row>
    <row r="9" spans="1:125" ht="15.75" customHeight="1" x14ac:dyDescent="0.2">
      <c r="A9" s="25"/>
      <c r="B9" s="2" t="s">
        <v>50</v>
      </c>
      <c r="D9" s="630">
        <f>'General Information'!C7</f>
        <v>0</v>
      </c>
      <c r="E9" s="630"/>
      <c r="F9" s="630"/>
      <c r="G9" s="630"/>
      <c r="H9" s="630"/>
      <c r="I9" s="630"/>
      <c r="J9" s="630"/>
      <c r="K9" s="630"/>
      <c r="M9" s="265"/>
      <c r="N9" s="265"/>
      <c r="O9" s="265"/>
      <c r="P9" s="265"/>
      <c r="Q9" s="265"/>
      <c r="R9" s="265"/>
      <c r="S9" s="15"/>
      <c r="T9" s="28"/>
      <c r="U9" s="55" t="s">
        <v>37</v>
      </c>
      <c r="V9" s="24" t="s">
        <v>29</v>
      </c>
      <c r="W9" s="48"/>
      <c r="X9" s="49" t="s">
        <v>185</v>
      </c>
      <c r="Y9" s="50"/>
      <c r="Z9" s="49"/>
      <c r="AA9" s="48"/>
      <c r="AB9" s="51" t="s">
        <v>38</v>
      </c>
      <c r="AC9" s="51"/>
      <c r="AD9" s="52"/>
      <c r="AE9" s="48"/>
      <c r="AF9" s="49" t="s">
        <v>39</v>
      </c>
      <c r="AG9" s="53"/>
      <c r="AH9" s="54"/>
      <c r="AI9" s="48"/>
      <c r="AJ9" s="45" t="s">
        <v>40</v>
      </c>
      <c r="AK9" s="12"/>
      <c r="AL9" s="48"/>
      <c r="AM9" s="56" t="s">
        <v>41</v>
      </c>
      <c r="AN9" s="57"/>
      <c r="AO9" s="58"/>
      <c r="AP9" s="48"/>
      <c r="AQ9" s="59" t="s">
        <v>42</v>
      </c>
      <c r="AR9" s="14"/>
    </row>
    <row r="10" spans="1:125" ht="15.75" customHeight="1" x14ac:dyDescent="0.2">
      <c r="A10" s="25"/>
      <c r="B10" s="2" t="s">
        <v>43</v>
      </c>
      <c r="D10" s="632">
        <f>'General Information'!C10</f>
        <v>0</v>
      </c>
      <c r="E10" s="632"/>
      <c r="F10" s="632"/>
      <c r="G10" s="632"/>
      <c r="H10" s="632"/>
      <c r="I10" s="632"/>
      <c r="J10" s="632"/>
      <c r="K10" s="632"/>
      <c r="S10" s="15"/>
      <c r="T10" s="28"/>
      <c r="U10" s="55" t="s">
        <v>44</v>
      </c>
      <c r="V10" s="24" t="s">
        <v>29</v>
      </c>
      <c r="W10" s="48"/>
      <c r="X10" s="49" t="s">
        <v>186</v>
      </c>
      <c r="Y10" s="50"/>
      <c r="Z10" s="49"/>
      <c r="AA10" s="48"/>
      <c r="AB10" s="51" t="s">
        <v>45</v>
      </c>
      <c r="AC10" s="51"/>
      <c r="AD10" s="52"/>
      <c r="AE10" s="48"/>
      <c r="AF10" s="49" t="s">
        <v>46</v>
      </c>
      <c r="AG10" s="53"/>
      <c r="AH10" s="54"/>
      <c r="AI10" s="48"/>
      <c r="AJ10" s="45" t="s">
        <v>47</v>
      </c>
      <c r="AK10" s="12"/>
      <c r="AL10" s="48"/>
      <c r="AM10" s="56" t="s">
        <v>48</v>
      </c>
      <c r="AN10" s="57"/>
      <c r="AO10" s="58"/>
      <c r="AP10" s="48"/>
      <c r="AQ10" s="59" t="s">
        <v>49</v>
      </c>
      <c r="AR10" s="14"/>
    </row>
    <row r="11" spans="1:125" ht="15.75" customHeight="1" x14ac:dyDescent="0.2">
      <c r="A11" s="25"/>
      <c r="B11" s="2" t="s">
        <v>58</v>
      </c>
      <c r="D11" s="645">
        <f>'General Information'!J3</f>
        <v>0</v>
      </c>
      <c r="E11" s="645"/>
      <c r="F11" s="645"/>
      <c r="G11" s="645"/>
      <c r="H11" s="645"/>
      <c r="I11" s="645"/>
      <c r="J11" s="645"/>
      <c r="K11" s="645"/>
      <c r="S11" s="15"/>
      <c r="T11" s="28"/>
      <c r="U11" s="55" t="s">
        <v>51</v>
      </c>
      <c r="V11" s="24" t="s">
        <v>29</v>
      </c>
      <c r="W11" s="48"/>
      <c r="X11" s="49" t="s">
        <v>52</v>
      </c>
      <c r="Y11" s="50"/>
      <c r="Z11" s="49"/>
      <c r="AA11" s="48"/>
      <c r="AB11" s="51" t="s">
        <v>53</v>
      </c>
      <c r="AC11" s="51"/>
      <c r="AD11" s="52"/>
      <c r="AE11" s="48"/>
      <c r="AF11" s="49" t="s">
        <v>54</v>
      </c>
      <c r="AG11" s="53"/>
      <c r="AH11" s="54"/>
      <c r="AI11" s="48"/>
      <c r="AJ11" s="45" t="s">
        <v>55</v>
      </c>
      <c r="AK11" s="12"/>
      <c r="AL11" s="48"/>
      <c r="AM11" s="56" t="s">
        <v>56</v>
      </c>
      <c r="AN11" s="57"/>
      <c r="AO11" s="58"/>
      <c r="AP11" s="48"/>
      <c r="AQ11" s="59" t="s">
        <v>57</v>
      </c>
      <c r="AR11" s="14"/>
    </row>
    <row r="12" spans="1:125" ht="15.75" customHeight="1" x14ac:dyDescent="0.2">
      <c r="A12" s="25"/>
      <c r="B12" s="2"/>
      <c r="D12" s="60"/>
      <c r="E12" s="60"/>
      <c r="F12" s="60"/>
      <c r="G12" s="60"/>
      <c r="H12" s="60"/>
      <c r="I12" s="60"/>
      <c r="J12" s="60"/>
      <c r="S12" s="15"/>
      <c r="T12" s="28"/>
      <c r="U12" s="30" t="s">
        <v>59</v>
      </c>
      <c r="V12" s="24" t="s">
        <v>20</v>
      </c>
      <c r="W12" s="47"/>
      <c r="X12" s="43" t="s">
        <v>60</v>
      </c>
      <c r="Y12" s="44"/>
      <c r="Z12" s="43"/>
      <c r="AA12" s="47"/>
      <c r="AB12" s="45" t="s">
        <v>61</v>
      </c>
      <c r="AC12" s="45"/>
      <c r="AD12" s="12"/>
      <c r="AE12" s="47"/>
      <c r="AF12" s="43" t="s">
        <v>62</v>
      </c>
      <c r="AG12" s="46"/>
      <c r="AH12" s="13"/>
      <c r="AI12" s="47"/>
      <c r="AJ12" s="45" t="s">
        <v>63</v>
      </c>
      <c r="AK12" s="12"/>
      <c r="AL12" s="47"/>
      <c r="AM12" s="56" t="s">
        <v>64</v>
      </c>
      <c r="AN12" s="57"/>
      <c r="AO12" s="61"/>
      <c r="AP12" s="47"/>
      <c r="AQ12" s="59" t="s">
        <v>65</v>
      </c>
      <c r="AR12" s="14"/>
    </row>
    <row r="13" spans="1:125" ht="15.75" customHeight="1" thickBot="1" x14ac:dyDescent="0.25">
      <c r="A13" s="25"/>
      <c r="B13" s="62" t="s">
        <v>80</v>
      </c>
      <c r="C13" s="63"/>
      <c r="D13" s="64"/>
      <c r="E13" s="65"/>
      <c r="F13" s="64"/>
      <c r="G13" s="64"/>
      <c r="H13" s="64"/>
      <c r="I13" s="64"/>
      <c r="J13" s="64"/>
      <c r="K13" s="66"/>
      <c r="L13" s="66"/>
      <c r="M13" s="66"/>
      <c r="N13" s="66"/>
      <c r="O13" s="66"/>
      <c r="P13" s="66"/>
      <c r="Q13" s="66"/>
      <c r="R13" s="66"/>
      <c r="S13" s="15"/>
      <c r="T13" s="28"/>
      <c r="U13" s="55" t="s">
        <v>66</v>
      </c>
      <c r="V13" s="24" t="s">
        <v>20</v>
      </c>
      <c r="W13" s="47"/>
      <c r="X13" s="43" t="s">
        <v>67</v>
      </c>
      <c r="Y13" s="44"/>
      <c r="Z13" s="43"/>
      <c r="AA13" s="47"/>
      <c r="AB13" s="45" t="s">
        <v>68</v>
      </c>
      <c r="AC13" s="45"/>
      <c r="AD13" s="12"/>
      <c r="AE13" s="47"/>
      <c r="AF13" s="43" t="s">
        <v>69</v>
      </c>
      <c r="AG13" s="46"/>
      <c r="AH13" s="13"/>
      <c r="AI13" s="47"/>
      <c r="AJ13" s="45" t="s">
        <v>70</v>
      </c>
      <c r="AK13" s="12"/>
      <c r="AL13" s="47"/>
      <c r="AM13" s="56" t="s">
        <v>71</v>
      </c>
      <c r="AN13" s="57"/>
      <c r="AO13" s="58"/>
      <c r="AP13" s="47"/>
      <c r="AQ13" s="59" t="s">
        <v>72</v>
      </c>
      <c r="AR13" s="14"/>
    </row>
    <row r="14" spans="1:125" ht="15.75" customHeight="1" x14ac:dyDescent="0.2">
      <c r="A14" s="25"/>
      <c r="B14" s="624" t="s">
        <v>88</v>
      </c>
      <c r="C14" s="624"/>
      <c r="D14" s="624"/>
      <c r="E14" s="67" t="s">
        <v>89</v>
      </c>
      <c r="F14" s="67"/>
      <c r="G14" s="67" t="s">
        <v>90</v>
      </c>
      <c r="H14" s="68"/>
      <c r="I14" s="69" t="s">
        <v>11</v>
      </c>
      <c r="J14" s="68"/>
      <c r="K14" s="68" t="s">
        <v>88</v>
      </c>
      <c r="L14" s="68"/>
      <c r="M14" s="68"/>
      <c r="N14" s="67" t="s">
        <v>89</v>
      </c>
      <c r="O14" s="67"/>
      <c r="P14" s="68" t="s">
        <v>90</v>
      </c>
      <c r="Q14" s="68"/>
      <c r="R14" s="69" t="s">
        <v>11</v>
      </c>
      <c r="S14" s="15"/>
      <c r="T14" s="28"/>
      <c r="U14" s="55" t="s">
        <v>73</v>
      </c>
      <c r="V14" s="24" t="s">
        <v>20</v>
      </c>
      <c r="W14" s="47"/>
      <c r="X14" s="43" t="s">
        <v>74</v>
      </c>
      <c r="Y14" s="44"/>
      <c r="Z14" s="43"/>
      <c r="AA14" s="47"/>
      <c r="AB14" s="45" t="s">
        <v>75</v>
      </c>
      <c r="AC14" s="45"/>
      <c r="AD14" s="12"/>
      <c r="AE14" s="47"/>
      <c r="AF14" s="43" t="s">
        <v>76</v>
      </c>
      <c r="AG14" s="46"/>
      <c r="AH14" s="13"/>
      <c r="AI14" s="47"/>
      <c r="AJ14" s="45" t="s">
        <v>77</v>
      </c>
      <c r="AK14" s="12"/>
      <c r="AL14" s="47"/>
      <c r="AM14" s="56" t="s">
        <v>78</v>
      </c>
      <c r="AN14" s="57"/>
      <c r="AO14" s="58"/>
      <c r="AP14" s="47"/>
      <c r="AQ14" s="59" t="s">
        <v>79</v>
      </c>
      <c r="AR14" s="14"/>
    </row>
    <row r="15" spans="1:125" ht="15.75" customHeight="1" x14ac:dyDescent="0.2">
      <c r="A15" s="25"/>
      <c r="B15" s="623" t="s">
        <v>702</v>
      </c>
      <c r="C15" s="623"/>
      <c r="D15" s="623"/>
      <c r="E15" s="73"/>
      <c r="F15" s="74"/>
      <c r="G15" s="2" t="s">
        <v>29</v>
      </c>
      <c r="J15" s="75"/>
      <c r="K15" s="623" t="s">
        <v>93</v>
      </c>
      <c r="L15" s="623"/>
      <c r="M15" s="623"/>
      <c r="N15" s="196"/>
      <c r="O15" s="74"/>
      <c r="P15" s="22" t="s">
        <v>20</v>
      </c>
      <c r="R15" s="43" t="s">
        <v>94</v>
      </c>
      <c r="S15" s="15"/>
      <c r="T15" s="28"/>
      <c r="U15" s="55" t="s">
        <v>81</v>
      </c>
      <c r="V15" s="24" t="s">
        <v>20</v>
      </c>
      <c r="W15" s="47"/>
      <c r="X15" s="43" t="s">
        <v>82</v>
      </c>
      <c r="Y15" s="44"/>
      <c r="Z15" s="43"/>
      <c r="AA15" s="47"/>
      <c r="AB15" s="45" t="s">
        <v>83</v>
      </c>
      <c r="AC15" s="45"/>
      <c r="AD15" s="12"/>
      <c r="AE15" s="47"/>
      <c r="AF15" s="43" t="s">
        <v>84</v>
      </c>
      <c r="AG15" s="46"/>
      <c r="AH15" s="13"/>
      <c r="AI15" s="47"/>
      <c r="AJ15" s="45" t="s">
        <v>85</v>
      </c>
      <c r="AK15" s="12"/>
      <c r="AL15" s="47"/>
      <c r="AM15" s="56" t="s">
        <v>86</v>
      </c>
      <c r="AN15" s="57"/>
      <c r="AO15" s="58"/>
      <c r="AP15" s="47"/>
      <c r="AQ15" s="59" t="s">
        <v>87</v>
      </c>
      <c r="AR15" s="14"/>
    </row>
    <row r="16" spans="1:125" ht="15.75" customHeight="1" x14ac:dyDescent="0.15">
      <c r="A16" s="25"/>
      <c r="B16" s="623" t="s">
        <v>722</v>
      </c>
      <c r="C16" s="623"/>
      <c r="D16" s="623"/>
      <c r="E16" s="74">
        <v>1</v>
      </c>
      <c r="F16" s="74"/>
      <c r="G16" s="2"/>
      <c r="J16" s="75"/>
      <c r="K16" s="623" t="s">
        <v>99</v>
      </c>
      <c r="L16" s="623"/>
      <c r="M16" s="623"/>
      <c r="N16" s="196"/>
      <c r="O16" s="74"/>
      <c r="P16" s="22" t="s">
        <v>20</v>
      </c>
      <c r="R16" s="43" t="s">
        <v>100</v>
      </c>
      <c r="S16" s="15"/>
      <c r="T16" s="28"/>
      <c r="U16" s="55" t="s">
        <v>91</v>
      </c>
      <c r="V16" s="24" t="s">
        <v>92</v>
      </c>
      <c r="W16" s="626"/>
      <c r="X16" s="626"/>
      <c r="Y16" s="70"/>
      <c r="Z16" s="71"/>
      <c r="AA16" s="72"/>
      <c r="AB16" s="45"/>
      <c r="AC16" s="45"/>
      <c r="AD16" s="12"/>
      <c r="AE16" s="626"/>
      <c r="AF16" s="626"/>
      <c r="AG16" s="46"/>
      <c r="AH16" s="13"/>
      <c r="AI16" s="72"/>
      <c r="AJ16" s="21"/>
      <c r="AK16" s="12"/>
      <c r="AL16" s="626"/>
      <c r="AM16" s="626"/>
      <c r="AN16" s="46"/>
      <c r="AO16" s="13"/>
      <c r="AP16" s="13"/>
      <c r="AQ16" s="21"/>
      <c r="AR16" s="14"/>
    </row>
    <row r="17" spans="1:44" ht="15.75" customHeight="1" x14ac:dyDescent="0.2">
      <c r="A17" s="25"/>
      <c r="B17" s="1" t="s">
        <v>772</v>
      </c>
      <c r="E17" s="625"/>
      <c r="F17" s="625"/>
      <c r="G17" s="625"/>
      <c r="J17" s="75"/>
      <c r="K17" s="623" t="s">
        <v>104</v>
      </c>
      <c r="L17" s="623"/>
      <c r="M17" s="623"/>
      <c r="N17" s="196"/>
      <c r="O17" s="74"/>
      <c r="P17" s="22" t="s">
        <v>20</v>
      </c>
      <c r="R17" s="43" t="s">
        <v>105</v>
      </c>
      <c r="S17" s="15"/>
      <c r="T17" s="28"/>
      <c r="U17" s="30" t="s">
        <v>95</v>
      </c>
      <c r="V17" s="24" t="s">
        <v>20</v>
      </c>
      <c r="W17" s="76"/>
      <c r="X17" s="2"/>
      <c r="Y17" s="77"/>
      <c r="Z17" s="2"/>
      <c r="AA17" s="47"/>
      <c r="AB17" s="45" t="s">
        <v>96</v>
      </c>
      <c r="AC17" s="45"/>
      <c r="AD17" s="12"/>
      <c r="AE17" s="76"/>
      <c r="AF17" s="43"/>
      <c r="AG17" s="46"/>
      <c r="AH17" s="13"/>
      <c r="AI17" s="78">
        <f>AA17</f>
        <v>0</v>
      </c>
      <c r="AJ17" s="45" t="s">
        <v>97</v>
      </c>
      <c r="AK17" s="12"/>
      <c r="AL17" s="2"/>
      <c r="AM17" s="43"/>
      <c r="AN17" s="46"/>
      <c r="AO17" s="13"/>
      <c r="AP17" s="47"/>
      <c r="AQ17" s="45" t="s">
        <v>98</v>
      </c>
      <c r="AR17" s="14"/>
    </row>
    <row r="18" spans="1:44" ht="15" customHeight="1" x14ac:dyDescent="0.2">
      <c r="A18" s="25"/>
      <c r="B18" s="623" t="s">
        <v>815</v>
      </c>
      <c r="C18" s="623"/>
      <c r="D18" s="623"/>
      <c r="E18" s="241"/>
      <c r="F18" s="87"/>
      <c r="G18" s="2" t="s">
        <v>113</v>
      </c>
      <c r="I18" s="22" t="s">
        <v>929</v>
      </c>
      <c r="J18" s="75"/>
      <c r="K18" s="623" t="s">
        <v>108</v>
      </c>
      <c r="L18" s="623"/>
      <c r="M18" s="623"/>
      <c r="N18" s="196"/>
      <c r="O18" s="74"/>
      <c r="P18" s="22" t="s">
        <v>20</v>
      </c>
      <c r="R18" s="43" t="s">
        <v>109</v>
      </c>
      <c r="S18" s="15"/>
      <c r="T18" s="28"/>
      <c r="U18" s="30" t="s">
        <v>791</v>
      </c>
      <c r="V18" s="24" t="s">
        <v>781</v>
      </c>
      <c r="W18" s="76"/>
      <c r="X18" s="2"/>
      <c r="Y18" s="77"/>
      <c r="Z18" s="2"/>
      <c r="AA18" s="398"/>
      <c r="AB18" s="45" t="s">
        <v>793</v>
      </c>
      <c r="AC18" s="45"/>
      <c r="AD18" s="12"/>
      <c r="AE18" s="76"/>
      <c r="AF18" s="43"/>
      <c r="AG18" s="46"/>
      <c r="AH18" s="13"/>
      <c r="AI18" s="398"/>
      <c r="AJ18" s="45" t="s">
        <v>796</v>
      </c>
      <c r="AK18" s="12"/>
      <c r="AL18" s="2"/>
      <c r="AM18" s="43"/>
      <c r="AN18" s="46"/>
      <c r="AO18" s="13"/>
      <c r="AP18" s="398"/>
      <c r="AQ18" s="45" t="s">
        <v>799</v>
      </c>
      <c r="AR18" s="14"/>
    </row>
    <row r="19" spans="1:44" ht="15" customHeight="1" x14ac:dyDescent="0.2">
      <c r="A19" s="25"/>
      <c r="B19" s="623" t="s">
        <v>101</v>
      </c>
      <c r="C19" s="623"/>
      <c r="D19" s="623"/>
      <c r="E19" s="83">
        <f>'General Information'!L21</f>
        <v>0</v>
      </c>
      <c r="F19" s="84"/>
      <c r="G19" s="2" t="s">
        <v>102</v>
      </c>
      <c r="I19" s="22" t="s">
        <v>103</v>
      </c>
      <c r="J19" s="75"/>
      <c r="K19" s="623" t="s">
        <v>114</v>
      </c>
      <c r="L19" s="623"/>
      <c r="M19" s="623"/>
      <c r="N19" s="196"/>
      <c r="O19" s="74"/>
      <c r="P19" s="22" t="s">
        <v>20</v>
      </c>
      <c r="R19" s="43" t="s">
        <v>115</v>
      </c>
      <c r="S19" s="15"/>
      <c r="T19" s="10"/>
      <c r="U19" s="251" t="s">
        <v>792</v>
      </c>
      <c r="V19" s="24" t="s">
        <v>781</v>
      </c>
      <c r="W19" s="76"/>
      <c r="X19" s="2"/>
      <c r="Y19" s="77"/>
      <c r="Z19" s="2">
        <v>10</v>
      </c>
      <c r="AA19" s="398"/>
      <c r="AB19" s="45" t="s">
        <v>794</v>
      </c>
      <c r="AC19" s="45"/>
      <c r="AD19" s="12"/>
      <c r="AE19" s="76"/>
      <c r="AF19" s="43"/>
      <c r="AG19" s="46"/>
      <c r="AH19" s="13"/>
      <c r="AI19" s="398"/>
      <c r="AJ19" s="45" t="s">
        <v>797</v>
      </c>
      <c r="AK19" s="12"/>
      <c r="AL19" s="2"/>
      <c r="AM19" s="43"/>
      <c r="AN19" s="46"/>
      <c r="AO19" s="13"/>
      <c r="AP19" s="398"/>
      <c r="AQ19" s="45" t="s">
        <v>800</v>
      </c>
      <c r="AR19" s="14"/>
    </row>
    <row r="20" spans="1:44" ht="15" customHeight="1" x14ac:dyDescent="0.2">
      <c r="A20" s="25"/>
      <c r="B20" s="623" t="s">
        <v>106</v>
      </c>
      <c r="C20" s="623"/>
      <c r="D20" s="623"/>
      <c r="E20" s="85">
        <f>'General Information'!L22</f>
        <v>0</v>
      </c>
      <c r="F20" s="84"/>
      <c r="G20" s="2" t="s">
        <v>102</v>
      </c>
      <c r="I20" s="22" t="s">
        <v>107</v>
      </c>
      <c r="J20" s="75"/>
      <c r="K20" s="623" t="s">
        <v>117</v>
      </c>
      <c r="L20" s="623"/>
      <c r="M20" s="623"/>
      <c r="N20" s="195">
        <f>'General Information'!C20</f>
        <v>0</v>
      </c>
      <c r="O20" s="74"/>
      <c r="P20" s="22" t="s">
        <v>29</v>
      </c>
      <c r="R20" s="43" t="s">
        <v>118</v>
      </c>
      <c r="S20" s="15"/>
      <c r="T20" s="10"/>
      <c r="U20" s="251" t="s">
        <v>789</v>
      </c>
      <c r="V20" s="24" t="s">
        <v>790</v>
      </c>
      <c r="W20" s="371"/>
      <c r="X20" s="372"/>
      <c r="Y20" s="374"/>
      <c r="Z20" s="372"/>
      <c r="AA20" s="399"/>
      <c r="AB20" s="45" t="s">
        <v>795</v>
      </c>
      <c r="AC20" s="45"/>
      <c r="AD20" s="82"/>
      <c r="AE20" s="371"/>
      <c r="AF20" s="372"/>
      <c r="AG20" s="383"/>
      <c r="AH20" s="369"/>
      <c r="AI20" s="399"/>
      <c r="AJ20" s="45" t="s">
        <v>798</v>
      </c>
      <c r="AK20" s="82"/>
      <c r="AL20" s="371"/>
      <c r="AM20" s="372"/>
      <c r="AN20" s="383"/>
      <c r="AO20" s="369"/>
      <c r="AP20" s="399"/>
      <c r="AQ20" s="45" t="s">
        <v>801</v>
      </c>
      <c r="AR20" s="14"/>
    </row>
    <row r="21" spans="1:44" ht="15" customHeight="1" x14ac:dyDescent="0.2">
      <c r="A21" s="25"/>
      <c r="B21" s="627" t="s">
        <v>783</v>
      </c>
      <c r="C21" s="627"/>
      <c r="D21" s="627"/>
      <c r="F21" s="87"/>
      <c r="I21" s="1"/>
      <c r="J21" s="75"/>
      <c r="K21" s="96" t="s">
        <v>780</v>
      </c>
      <c r="L21" s="43"/>
      <c r="M21" s="43"/>
      <c r="N21" s="454"/>
      <c r="O21" s="43"/>
      <c r="P21" s="43" t="s">
        <v>781</v>
      </c>
      <c r="Q21" s="43"/>
      <c r="R21" s="43" t="s">
        <v>786</v>
      </c>
      <c r="S21" s="15"/>
      <c r="T21" s="10"/>
      <c r="U21" s="436" t="s">
        <v>943</v>
      </c>
      <c r="V21" s="437" t="s">
        <v>29</v>
      </c>
      <c r="W21" s="373"/>
      <c r="X21" s="372"/>
      <c r="Y21" s="372"/>
      <c r="Z21" s="438"/>
      <c r="AA21" s="458"/>
      <c r="AB21" s="439" t="s">
        <v>944</v>
      </c>
      <c r="AC21" s="45"/>
      <c r="AD21" s="82"/>
      <c r="AE21" s="440"/>
      <c r="AF21" s="372"/>
      <c r="AG21" s="372"/>
      <c r="AH21" s="441"/>
      <c r="AI21" s="458"/>
      <c r="AJ21" s="439" t="s">
        <v>945</v>
      </c>
      <c r="AK21" s="369"/>
      <c r="AL21" s="440"/>
      <c r="AM21" s="372"/>
      <c r="AN21" s="374"/>
      <c r="AO21" s="372"/>
      <c r="AP21" s="458"/>
      <c r="AQ21" s="439" t="s">
        <v>946</v>
      </c>
      <c r="AR21" s="14"/>
    </row>
    <row r="22" spans="1:44" ht="15" customHeight="1" x14ac:dyDescent="0.15">
      <c r="A22" s="25"/>
      <c r="B22" s="250" t="s">
        <v>782</v>
      </c>
      <c r="C22" s="243"/>
      <c r="D22" s="243"/>
      <c r="E22" s="83">
        <f>E20*(1-E18)-(E18*((N20-E15)*4.2+2260))</f>
        <v>0</v>
      </c>
      <c r="F22" s="87"/>
      <c r="G22" s="2" t="s">
        <v>102</v>
      </c>
      <c r="I22" s="22" t="s">
        <v>928</v>
      </c>
      <c r="J22" s="75"/>
      <c r="K22" s="96"/>
      <c r="L22" s="43"/>
      <c r="M22" s="244" t="s">
        <v>784</v>
      </c>
      <c r="N22" s="454"/>
      <c r="O22" s="43"/>
      <c r="P22" s="43" t="s">
        <v>781</v>
      </c>
      <c r="Q22" s="43"/>
      <c r="R22" s="43" t="s">
        <v>787</v>
      </c>
      <c r="S22" s="15"/>
      <c r="T22" s="10"/>
      <c r="U22" s="251" t="s">
        <v>954</v>
      </c>
      <c r="V22" s="24" t="s">
        <v>20</v>
      </c>
      <c r="W22" s="76"/>
      <c r="X22" s="2"/>
      <c r="Y22" s="77"/>
      <c r="Z22" s="2"/>
      <c r="AA22" s="398"/>
      <c r="AB22" s="389" t="s">
        <v>914</v>
      </c>
      <c r="AC22" s="45"/>
      <c r="AD22" s="12"/>
      <c r="AE22" s="76"/>
      <c r="AF22" s="43"/>
      <c r="AG22" s="46"/>
      <c r="AH22" s="13"/>
      <c r="AI22" s="398"/>
      <c r="AJ22" s="451" t="s">
        <v>968</v>
      </c>
      <c r="AK22" s="21"/>
      <c r="AL22" s="2"/>
      <c r="AM22" s="43"/>
      <c r="AN22" s="46"/>
      <c r="AO22" s="13"/>
      <c r="AP22" s="398"/>
      <c r="AQ22" s="391" t="s">
        <v>916</v>
      </c>
      <c r="AR22" s="14"/>
    </row>
    <row r="23" spans="1:44" ht="15" customHeight="1" x14ac:dyDescent="0.15">
      <c r="A23" s="25"/>
      <c r="B23" s="622" t="s">
        <v>736</v>
      </c>
      <c r="C23" s="622"/>
      <c r="D23" s="622"/>
      <c r="E23" s="83">
        <f>'General Information'!L11</f>
        <v>0</v>
      </c>
      <c r="F23" s="2"/>
      <c r="G23" s="2" t="s">
        <v>102</v>
      </c>
      <c r="J23" s="75"/>
      <c r="K23" s="96"/>
      <c r="L23" s="43"/>
      <c r="M23" s="244" t="s">
        <v>785</v>
      </c>
      <c r="N23" s="454"/>
      <c r="O23" s="43"/>
      <c r="P23" s="43" t="s">
        <v>790</v>
      </c>
      <c r="Q23" s="43"/>
      <c r="R23" s="43" t="s">
        <v>788</v>
      </c>
      <c r="S23" s="15"/>
      <c r="T23" s="10"/>
      <c r="U23" s="251" t="s">
        <v>955</v>
      </c>
      <c r="V23" s="24" t="s">
        <v>20</v>
      </c>
      <c r="W23" s="76"/>
      <c r="X23" s="2"/>
      <c r="Y23" s="77"/>
      <c r="Z23" s="2">
        <v>10</v>
      </c>
      <c r="AA23" s="398"/>
      <c r="AB23" s="390" t="s">
        <v>911</v>
      </c>
      <c r="AC23" s="45"/>
      <c r="AD23" s="12"/>
      <c r="AE23" s="76"/>
      <c r="AF23" s="43"/>
      <c r="AG23" s="46"/>
      <c r="AH23" s="13"/>
      <c r="AI23" s="398"/>
      <c r="AJ23" s="358" t="s">
        <v>912</v>
      </c>
      <c r="AK23" s="12"/>
      <c r="AL23" s="2"/>
      <c r="AM23" s="43"/>
      <c r="AN23" s="46"/>
      <c r="AO23" s="13"/>
      <c r="AP23" s="398"/>
      <c r="AQ23" s="391" t="s">
        <v>913</v>
      </c>
      <c r="AR23" s="14"/>
    </row>
    <row r="24" spans="1:44" ht="15.75" customHeight="1" thickBot="1" x14ac:dyDescent="0.2">
      <c r="A24" s="25"/>
      <c r="D24" s="97"/>
      <c r="E24" s="98"/>
      <c r="F24" s="2"/>
      <c r="G24" s="2"/>
      <c r="K24" s="96"/>
      <c r="L24" s="43"/>
      <c r="M24" s="43"/>
      <c r="N24" s="43"/>
      <c r="O24" s="43"/>
      <c r="P24" s="43"/>
      <c r="Q24" s="43"/>
      <c r="R24" s="43"/>
      <c r="S24" s="15"/>
      <c r="T24" s="10"/>
      <c r="U24" s="442" t="s">
        <v>956</v>
      </c>
      <c r="V24" s="37" t="s">
        <v>20</v>
      </c>
      <c r="W24" s="79"/>
      <c r="X24" s="80"/>
      <c r="Y24" s="81"/>
      <c r="Z24" s="80"/>
      <c r="AA24" s="443"/>
      <c r="AB24" s="444" t="s">
        <v>908</v>
      </c>
      <c r="AC24" s="445"/>
      <c r="AD24" s="446"/>
      <c r="AE24" s="79"/>
      <c r="AF24" s="80"/>
      <c r="AG24" s="447"/>
      <c r="AH24" s="448"/>
      <c r="AI24" s="443"/>
      <c r="AJ24" s="449" t="s">
        <v>909</v>
      </c>
      <c r="AK24" s="446"/>
      <c r="AL24" s="79"/>
      <c r="AM24" s="80"/>
      <c r="AN24" s="447"/>
      <c r="AO24" s="448"/>
      <c r="AP24" s="443"/>
      <c r="AQ24" s="450" t="s">
        <v>910</v>
      </c>
      <c r="AR24" s="14"/>
    </row>
    <row r="25" spans="1:44" ht="15.75" customHeight="1" thickBot="1" x14ac:dyDescent="0.2">
      <c r="A25" s="25"/>
      <c r="B25" s="99" t="s">
        <v>737</v>
      </c>
      <c r="C25" s="100"/>
      <c r="D25" s="101"/>
      <c r="E25" s="646"/>
      <c r="F25" s="646"/>
      <c r="G25" s="646"/>
      <c r="H25" s="646"/>
      <c r="I25" s="646"/>
      <c r="J25" s="646"/>
      <c r="K25" s="646"/>
      <c r="L25" s="646"/>
      <c r="M25" s="646"/>
      <c r="N25" s="646"/>
      <c r="O25" s="646"/>
      <c r="P25" s="646"/>
      <c r="Q25" s="646"/>
      <c r="R25" s="647"/>
      <c r="S25" s="15"/>
      <c r="T25" s="10"/>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14"/>
    </row>
    <row r="26" spans="1:44" ht="15.75" customHeight="1" x14ac:dyDescent="0.15">
      <c r="A26" s="25"/>
      <c r="B26" s="616"/>
      <c r="C26" s="617"/>
      <c r="D26" s="617"/>
      <c r="E26" s="617"/>
      <c r="F26" s="617"/>
      <c r="G26" s="617"/>
      <c r="H26" s="617"/>
      <c r="I26" s="617"/>
      <c r="J26" s="617"/>
      <c r="K26" s="617"/>
      <c r="L26" s="617"/>
      <c r="M26" s="617"/>
      <c r="N26" s="617"/>
      <c r="O26" s="617"/>
      <c r="P26" s="617"/>
      <c r="Q26" s="617"/>
      <c r="R26" s="618"/>
      <c r="S26" s="15"/>
      <c r="T26" s="10"/>
      <c r="U26" s="377"/>
      <c r="V26" s="13"/>
      <c r="W26" s="86" t="s">
        <v>110</v>
      </c>
      <c r="X26" s="13"/>
      <c r="Y26" s="23"/>
      <c r="Z26" s="13"/>
      <c r="AA26" s="86" t="s">
        <v>111</v>
      </c>
      <c r="AB26" s="13"/>
      <c r="AC26" s="13"/>
      <c r="AD26" s="21"/>
      <c r="AE26" s="118" t="s">
        <v>964</v>
      </c>
      <c r="AF26" s="13"/>
      <c r="AG26" s="13"/>
      <c r="AH26" s="13"/>
      <c r="AI26" s="13"/>
      <c r="AJ26" s="13"/>
      <c r="AK26" s="13"/>
      <c r="AL26" s="13"/>
      <c r="AM26" s="13"/>
      <c r="AN26" s="13"/>
      <c r="AO26" s="13"/>
      <c r="AP26" s="13"/>
      <c r="AQ26" s="13"/>
      <c r="AR26" s="385"/>
    </row>
    <row r="27" spans="1:44" ht="15.75" customHeight="1" x14ac:dyDescent="0.15">
      <c r="A27" s="25"/>
      <c r="B27" s="616"/>
      <c r="C27" s="617"/>
      <c r="D27" s="617"/>
      <c r="E27" s="617"/>
      <c r="F27" s="617"/>
      <c r="G27" s="617"/>
      <c r="H27" s="617"/>
      <c r="I27" s="617"/>
      <c r="J27" s="617"/>
      <c r="K27" s="617"/>
      <c r="L27" s="617"/>
      <c r="M27" s="617"/>
      <c r="N27" s="617"/>
      <c r="O27" s="617"/>
      <c r="P27" s="617"/>
      <c r="Q27" s="617"/>
      <c r="R27" s="618"/>
      <c r="S27" s="15"/>
      <c r="T27" s="10"/>
      <c r="U27" s="378" t="s">
        <v>116</v>
      </c>
      <c r="V27" s="89" t="s">
        <v>9</v>
      </c>
      <c r="W27" s="89" t="s">
        <v>10</v>
      </c>
      <c r="X27" s="89" t="s">
        <v>11</v>
      </c>
      <c r="Y27" s="46"/>
      <c r="Z27" s="13"/>
      <c r="AA27" s="89" t="s">
        <v>10</v>
      </c>
      <c r="AB27" s="89" t="s">
        <v>11</v>
      </c>
      <c r="AC27" s="89"/>
      <c r="AD27" s="21"/>
      <c r="AE27" s="90" t="s">
        <v>116</v>
      </c>
      <c r="AF27" s="13"/>
      <c r="AG27" s="13"/>
      <c r="AH27" s="13"/>
      <c r="AI27" s="13"/>
      <c r="AJ27" s="13"/>
      <c r="AK27" s="13"/>
      <c r="AL27" s="13"/>
      <c r="AM27" s="89" t="s">
        <v>9</v>
      </c>
      <c r="AN27" s="13"/>
      <c r="AO27" s="13"/>
      <c r="AP27" s="89" t="s">
        <v>10</v>
      </c>
      <c r="AQ27" s="89" t="s">
        <v>11</v>
      </c>
      <c r="AR27" s="14"/>
    </row>
    <row r="28" spans="1:44" ht="15.75" customHeight="1" x14ac:dyDescent="0.2">
      <c r="A28" s="25"/>
      <c r="B28" s="616"/>
      <c r="C28" s="617"/>
      <c r="D28" s="617"/>
      <c r="E28" s="617"/>
      <c r="F28" s="617"/>
      <c r="G28" s="617"/>
      <c r="H28" s="617"/>
      <c r="I28" s="617"/>
      <c r="J28" s="617"/>
      <c r="K28" s="617"/>
      <c r="L28" s="617"/>
      <c r="M28" s="617"/>
      <c r="N28" s="617"/>
      <c r="O28" s="617"/>
      <c r="P28" s="617"/>
      <c r="Q28" s="617"/>
      <c r="R28" s="618"/>
      <c r="S28" s="15"/>
      <c r="T28" s="10"/>
      <c r="U28" s="379" t="s">
        <v>874</v>
      </c>
      <c r="V28" s="92" t="s">
        <v>20</v>
      </c>
      <c r="W28" s="93">
        <f>W7-AA7</f>
        <v>0</v>
      </c>
      <c r="X28" s="56" t="s">
        <v>119</v>
      </c>
      <c r="Y28" s="57"/>
      <c r="Z28" s="61"/>
      <c r="AA28" s="93">
        <f>AE7-AI7</f>
        <v>0</v>
      </c>
      <c r="AB28" s="56" t="s">
        <v>120</v>
      </c>
      <c r="AC28" s="56"/>
      <c r="AD28" s="21"/>
      <c r="AE28" s="95" t="s">
        <v>876</v>
      </c>
      <c r="AF28" s="61"/>
      <c r="AG28" s="61"/>
      <c r="AH28" s="61"/>
      <c r="AI28" s="61"/>
      <c r="AJ28" s="61"/>
      <c r="AK28" s="61"/>
      <c r="AL28" s="61"/>
      <c r="AM28" s="92" t="s">
        <v>20</v>
      </c>
      <c r="AN28" s="61"/>
      <c r="AO28" s="61"/>
      <c r="AP28" s="93">
        <f>AL7-AP7</f>
        <v>0</v>
      </c>
      <c r="AQ28" s="56" t="s">
        <v>121</v>
      </c>
      <c r="AR28" s="14"/>
    </row>
    <row r="29" spans="1:44" ht="15.75" customHeight="1" x14ac:dyDescent="0.2">
      <c r="A29" s="25"/>
      <c r="B29" s="616"/>
      <c r="C29" s="617"/>
      <c r="D29" s="617"/>
      <c r="E29" s="617"/>
      <c r="F29" s="617"/>
      <c r="G29" s="617"/>
      <c r="H29" s="617"/>
      <c r="I29" s="617"/>
      <c r="J29" s="617"/>
      <c r="K29" s="617"/>
      <c r="L29" s="617"/>
      <c r="M29" s="617"/>
      <c r="N29" s="617"/>
      <c r="O29" s="617"/>
      <c r="P29" s="617"/>
      <c r="Q29" s="617"/>
      <c r="R29" s="618"/>
      <c r="S29" s="15"/>
      <c r="T29" s="10"/>
      <c r="U29" s="379" t="s">
        <v>122</v>
      </c>
      <c r="V29" s="92" t="s">
        <v>20</v>
      </c>
      <c r="W29" s="93">
        <f>AA17-$N$19</f>
        <v>0</v>
      </c>
      <c r="X29" s="56" t="s">
        <v>123</v>
      </c>
      <c r="Y29" s="57"/>
      <c r="Z29" s="61"/>
      <c r="AA29" s="93">
        <f>IF(AA28=0,0,AI17-$N$19)</f>
        <v>0</v>
      </c>
      <c r="AB29" s="56" t="s">
        <v>124</v>
      </c>
      <c r="AC29" s="56"/>
      <c r="AD29" s="94"/>
      <c r="AE29" s="95" t="s">
        <v>125</v>
      </c>
      <c r="AF29" s="61"/>
      <c r="AG29" s="61"/>
      <c r="AH29" s="61"/>
      <c r="AI29" s="61"/>
      <c r="AJ29" s="61"/>
      <c r="AK29" s="61"/>
      <c r="AL29" s="61"/>
      <c r="AM29" s="92" t="s">
        <v>20</v>
      </c>
      <c r="AN29" s="61"/>
      <c r="AO29" s="61"/>
      <c r="AP29" s="93">
        <f>(AP17-$N$19)-W29</f>
        <v>0</v>
      </c>
      <c r="AQ29" s="56" t="s">
        <v>126</v>
      </c>
      <c r="AR29" s="14"/>
    </row>
    <row r="30" spans="1:44" ht="15.75" customHeight="1" x14ac:dyDescent="0.2">
      <c r="A30" s="25"/>
      <c r="B30" s="616"/>
      <c r="C30" s="617"/>
      <c r="D30" s="617"/>
      <c r="E30" s="617"/>
      <c r="F30" s="617"/>
      <c r="G30" s="617"/>
      <c r="H30" s="617"/>
      <c r="I30" s="617"/>
      <c r="J30" s="617"/>
      <c r="K30" s="617"/>
      <c r="L30" s="617"/>
      <c r="M30" s="617"/>
      <c r="N30" s="617"/>
      <c r="O30" s="617"/>
      <c r="P30" s="617"/>
      <c r="Q30" s="617"/>
      <c r="R30" s="618"/>
      <c r="S30" s="15"/>
      <c r="T30" s="10"/>
      <c r="U30" s="379" t="s">
        <v>875</v>
      </c>
      <c r="V30" s="92" t="s">
        <v>20</v>
      </c>
      <c r="W30" s="327" t="e">
        <f>(W28*($E$20*(1-$E$18)-$E$18*(4.186*($N$20-$E$15)+2257))-W29*$E23)/$E$20</f>
        <v>#DIV/0!</v>
      </c>
      <c r="X30" s="328" t="s">
        <v>127</v>
      </c>
      <c r="Y30" s="329"/>
      <c r="Z30" s="330"/>
      <c r="AA30" s="327">
        <f>IF(AA28=0,0,(AA28*($E$20*(1-$E$18)-$E$18*(4.186*($N$20-$E$15)+2257))-AA29*$E23)/$E$20)</f>
        <v>0</v>
      </c>
      <c r="AB30" s="328" t="s">
        <v>128</v>
      </c>
      <c r="AC30" s="328"/>
      <c r="AD30" s="331"/>
      <c r="AE30" s="332" t="s">
        <v>875</v>
      </c>
      <c r="AF30" s="330"/>
      <c r="AG30" s="330"/>
      <c r="AH30" s="330"/>
      <c r="AI30" s="330"/>
      <c r="AJ30" s="330"/>
      <c r="AK30" s="330"/>
      <c r="AL30" s="330"/>
      <c r="AM30" s="333" t="s">
        <v>20</v>
      </c>
      <c r="AN30" s="330"/>
      <c r="AO30" s="330"/>
      <c r="AP30" s="327" t="e">
        <f>(AP28*($E$20*(1-$E$18)-$E$18*(4.186*($N$20-$E$15)+2257))-AP29*$E23)/$E$20</f>
        <v>#DIV/0!</v>
      </c>
      <c r="AQ30" s="56" t="s">
        <v>129</v>
      </c>
      <c r="AR30" s="14"/>
    </row>
    <row r="31" spans="1:44" ht="15.75" customHeight="1" x14ac:dyDescent="0.2">
      <c r="A31" s="25"/>
      <c r="B31" s="616"/>
      <c r="C31" s="617"/>
      <c r="D31" s="617"/>
      <c r="E31" s="617"/>
      <c r="F31" s="617"/>
      <c r="G31" s="617"/>
      <c r="H31" s="617"/>
      <c r="I31" s="617"/>
      <c r="J31" s="617"/>
      <c r="K31" s="617"/>
      <c r="L31" s="617"/>
      <c r="M31" s="617"/>
      <c r="N31" s="617"/>
      <c r="O31" s="617"/>
      <c r="P31" s="617"/>
      <c r="Q31" s="617"/>
      <c r="R31" s="618"/>
      <c r="S31" s="15"/>
      <c r="T31" s="10"/>
      <c r="U31" s="379" t="s">
        <v>130</v>
      </c>
      <c r="V31" s="92" t="s">
        <v>20</v>
      </c>
      <c r="W31" s="93">
        <f>SUM(W12:W15)-SUM(AA12:AA15)</f>
        <v>0</v>
      </c>
      <c r="X31" s="56" t="s">
        <v>131</v>
      </c>
      <c r="Y31" s="57"/>
      <c r="Z31" s="61"/>
      <c r="AA31" s="93">
        <f>SUM(AE12:AE15)-SUM(AI12:AI15)</f>
        <v>0</v>
      </c>
      <c r="AB31" s="56" t="s">
        <v>132</v>
      </c>
      <c r="AC31" s="56"/>
      <c r="AD31" s="94"/>
      <c r="AE31" s="95" t="s">
        <v>133</v>
      </c>
      <c r="AF31" s="61"/>
      <c r="AG31" s="61"/>
      <c r="AH31" s="61"/>
      <c r="AI31" s="61"/>
      <c r="AJ31" s="61"/>
      <c r="AK31" s="61"/>
      <c r="AL31" s="61"/>
      <c r="AM31" s="92" t="s">
        <v>20</v>
      </c>
      <c r="AN31" s="61"/>
      <c r="AO31" s="61"/>
      <c r="AP31" s="93">
        <f>(AL12-AP12)+(AL13-AP13)+(AL14-AP14)+(AL15-AP15)</f>
        <v>0</v>
      </c>
      <c r="AQ31" s="56" t="s">
        <v>134</v>
      </c>
      <c r="AR31" s="14"/>
    </row>
    <row r="32" spans="1:44" ht="15.75" customHeight="1" x14ac:dyDescent="0.2">
      <c r="A32" s="25"/>
      <c r="B32" s="616"/>
      <c r="C32" s="617"/>
      <c r="D32" s="617"/>
      <c r="E32" s="617"/>
      <c r="F32" s="617"/>
      <c r="G32" s="617"/>
      <c r="H32" s="617"/>
      <c r="I32" s="617"/>
      <c r="J32" s="617"/>
      <c r="K32" s="617"/>
      <c r="L32" s="617"/>
      <c r="M32" s="617"/>
      <c r="N32" s="617"/>
      <c r="O32" s="617"/>
      <c r="P32" s="617"/>
      <c r="Q32" s="617"/>
      <c r="R32" s="618"/>
      <c r="S32" s="15"/>
      <c r="T32" s="10"/>
      <c r="U32" s="379" t="s">
        <v>135</v>
      </c>
      <c r="V32" s="92" t="s">
        <v>20</v>
      </c>
      <c r="W32" s="93" t="e">
        <f>((AA12-$N15)*(AA8-W8)/($N$20-W8)+(AA13-$N16)*(AA9-W9)/($N$20-W9)+(AA14-$N17)*(AA10-W10)/($N$20-W10)+(AA15-$N18)*(AA11-W11)/($N$20-W11))</f>
        <v>#DIV/0!</v>
      </c>
      <c r="X32" s="56" t="s">
        <v>136</v>
      </c>
      <c r="Y32" s="57"/>
      <c r="Z32" s="61"/>
      <c r="AA32" s="93" t="e">
        <f>((AI12-$N15)*(AI8-AE8)/($N$20-AE8)+(AI13-$N16)*(AI9-AE9)/($N$20-AE9)+(AI14-$N17)*(AI10-AE10)/($N$20-AE10)+(AI15-$N18)*(AI11-AE11)/($N$20-AE11))</f>
        <v>#DIV/0!</v>
      </c>
      <c r="AB32" s="56" t="s">
        <v>137</v>
      </c>
      <c r="AC32" s="56"/>
      <c r="AD32" s="94"/>
      <c r="AE32" s="95" t="s">
        <v>138</v>
      </c>
      <c r="AF32" s="61"/>
      <c r="AG32" s="61"/>
      <c r="AH32" s="61"/>
      <c r="AI32" s="61"/>
      <c r="AJ32" s="61"/>
      <c r="AK32" s="61"/>
      <c r="AL32" s="61"/>
      <c r="AM32" s="92" t="s">
        <v>20</v>
      </c>
      <c r="AN32" s="61"/>
      <c r="AO32" s="61"/>
      <c r="AP32" s="93">
        <f>(AP12-$N$15+((AP9-25)/(N20-25))*(AP13-N16)+((AP10-25)/(N20-25))*(AP14-N17)+((AP11-25)/(N20-25))*(AP15-N18))</f>
        <v>0</v>
      </c>
      <c r="AQ32" s="56" t="s">
        <v>139</v>
      </c>
      <c r="AR32" s="14"/>
    </row>
    <row r="33" spans="1:122" ht="15.75" customHeight="1" x14ac:dyDescent="0.2">
      <c r="A33" s="25"/>
      <c r="B33" s="616"/>
      <c r="C33" s="617"/>
      <c r="D33" s="617"/>
      <c r="E33" s="617"/>
      <c r="F33" s="617"/>
      <c r="G33" s="617"/>
      <c r="H33" s="617"/>
      <c r="I33" s="617"/>
      <c r="J33" s="617"/>
      <c r="K33" s="617"/>
      <c r="L33" s="617"/>
      <c r="M33" s="617"/>
      <c r="N33" s="617"/>
      <c r="O33" s="617"/>
      <c r="P33" s="617"/>
      <c r="Q33" s="617"/>
      <c r="R33" s="618"/>
      <c r="S33" s="15"/>
      <c r="T33" s="10"/>
      <c r="U33" s="379" t="s">
        <v>140</v>
      </c>
      <c r="V33" s="92" t="s">
        <v>141</v>
      </c>
      <c r="W33" s="93">
        <f>(AA6-W6)*1440</f>
        <v>0</v>
      </c>
      <c r="X33" s="56" t="s">
        <v>142</v>
      </c>
      <c r="Y33" s="57"/>
      <c r="Z33" s="61"/>
      <c r="AA33" s="93">
        <f>(AI6-AE6)*1440</f>
        <v>0</v>
      </c>
      <c r="AB33" s="56" t="s">
        <v>143</v>
      </c>
      <c r="AC33" s="56"/>
      <c r="AD33" s="94"/>
      <c r="AE33" s="95" t="s">
        <v>144</v>
      </c>
      <c r="AF33" s="61"/>
      <c r="AG33" s="61"/>
      <c r="AH33" s="61"/>
      <c r="AI33" s="61"/>
      <c r="AJ33" s="61"/>
      <c r="AK33" s="61"/>
      <c r="AL33" s="61"/>
      <c r="AM33" s="92" t="s">
        <v>141</v>
      </c>
      <c r="AN33" s="61"/>
      <c r="AO33" s="61"/>
      <c r="AP33" s="93">
        <f>(AP6-AL6)*1440</f>
        <v>0</v>
      </c>
      <c r="AQ33" s="56" t="s">
        <v>145</v>
      </c>
      <c r="AR33" s="14"/>
    </row>
    <row r="34" spans="1:122" ht="15.75" customHeight="1" x14ac:dyDescent="0.2">
      <c r="A34" s="25"/>
      <c r="B34" s="616"/>
      <c r="C34" s="617"/>
      <c r="D34" s="617"/>
      <c r="E34" s="617"/>
      <c r="F34" s="617"/>
      <c r="G34" s="617"/>
      <c r="H34" s="617"/>
      <c r="I34" s="617"/>
      <c r="J34" s="617"/>
      <c r="K34" s="617"/>
      <c r="L34" s="617"/>
      <c r="M34" s="617"/>
      <c r="N34" s="617"/>
      <c r="O34" s="617"/>
      <c r="P34" s="617"/>
      <c r="Q34" s="617"/>
      <c r="R34" s="618"/>
      <c r="S34" s="15"/>
      <c r="T34" s="10"/>
      <c r="U34" s="379" t="s">
        <v>146</v>
      </c>
      <c r="V34" s="92" t="s">
        <v>141</v>
      </c>
      <c r="W34" s="327" t="e">
        <f>W33*75/(N20-W8)</f>
        <v>#DIV/0!</v>
      </c>
      <c r="X34" s="56" t="s">
        <v>147</v>
      </c>
      <c r="Y34" s="57"/>
      <c r="Z34" s="61"/>
      <c r="AA34" s="327" t="e">
        <f>AA33*75/(N20-AE8)</f>
        <v>#DIV/0!</v>
      </c>
      <c r="AB34" s="56" t="s">
        <v>148</v>
      </c>
      <c r="AC34" s="56"/>
      <c r="AD34" s="94"/>
      <c r="AE34" s="95" t="s">
        <v>149</v>
      </c>
      <c r="AF34" s="61"/>
      <c r="AG34" s="61"/>
      <c r="AH34" s="61"/>
      <c r="AI34" s="61"/>
      <c r="AJ34" s="61"/>
      <c r="AK34" s="61"/>
      <c r="AL34" s="61"/>
      <c r="AM34" s="92" t="s">
        <v>113</v>
      </c>
      <c r="AN34" s="61"/>
      <c r="AO34" s="61"/>
      <c r="AP34" s="434" t="e">
        <f>(4.186*((AL12-$N15+AP32)/2)*(AP8-AL8)+2260*AP31)/(AP30*$E$20)</f>
        <v>#DIV/0!</v>
      </c>
      <c r="AQ34" s="56" t="s">
        <v>150</v>
      </c>
      <c r="AR34" s="14"/>
    </row>
    <row r="35" spans="1:122" ht="15.75" customHeight="1" x14ac:dyDescent="0.2">
      <c r="A35" s="25"/>
      <c r="B35" s="613"/>
      <c r="C35" s="614"/>
      <c r="D35" s="614"/>
      <c r="E35" s="614"/>
      <c r="F35" s="614"/>
      <c r="G35" s="614"/>
      <c r="H35" s="614"/>
      <c r="I35" s="614"/>
      <c r="J35" s="614"/>
      <c r="K35" s="614"/>
      <c r="L35" s="614"/>
      <c r="M35" s="614"/>
      <c r="N35" s="614"/>
      <c r="O35" s="614"/>
      <c r="P35" s="614"/>
      <c r="Q35" s="614"/>
      <c r="R35" s="615"/>
      <c r="S35" s="15"/>
      <c r="T35" s="10"/>
      <c r="U35" s="379" t="s">
        <v>149</v>
      </c>
      <c r="V35" s="92" t="s">
        <v>113</v>
      </c>
      <c r="W35" s="434" t="e">
        <f>(4.186*SUM((W12-$N15)*(AA8-W8),(W13-$N16)*(AA9-W9),(W14-$N17)*(AA10-W10),(W15-$N18)*(AA11-W11))+2260*W31)/(W30*$E20)</f>
        <v>#DIV/0!</v>
      </c>
      <c r="X35" s="56" t="s">
        <v>151</v>
      </c>
      <c r="Y35" s="57"/>
      <c r="Z35" s="61"/>
      <c r="AA35" s="434" t="e">
        <f>(4.186*SUM((AE12-$N15)*(AI8-AE8),(AE13-$N16)*(AI9-AE9),(AE14-$N17)*(AI10-AE10),(AE15-$N18)*(AI11-AE11))+2260*AA31)/(AA30*$E20)</f>
        <v>#DIV/0!</v>
      </c>
      <c r="AB35" s="56" t="s">
        <v>152</v>
      </c>
      <c r="AC35" s="56"/>
      <c r="AD35" s="94"/>
      <c r="AE35" s="95" t="s">
        <v>153</v>
      </c>
      <c r="AF35" s="61"/>
      <c r="AG35" s="61"/>
      <c r="AH35" s="61"/>
      <c r="AI35" s="61"/>
      <c r="AJ35" s="61"/>
      <c r="AK35" s="61"/>
      <c r="AL35" s="61"/>
      <c r="AM35" s="92" t="s">
        <v>154</v>
      </c>
      <c r="AN35" s="61"/>
      <c r="AO35" s="61"/>
      <c r="AP35" s="421" t="e">
        <f>AP30/AP33</f>
        <v>#DIV/0!</v>
      </c>
      <c r="AQ35" s="56" t="s">
        <v>155</v>
      </c>
      <c r="AR35" s="14"/>
    </row>
    <row r="36" spans="1:122" ht="15.75" customHeight="1" thickBot="1" x14ac:dyDescent="0.25">
      <c r="A36" s="25"/>
      <c r="B36" s="110" t="s">
        <v>184</v>
      </c>
      <c r="C36" s="110"/>
      <c r="D36" s="110"/>
      <c r="E36" s="110"/>
      <c r="F36" s="110"/>
      <c r="G36" s="110"/>
      <c r="H36" s="110"/>
      <c r="I36" s="110"/>
      <c r="J36" s="110"/>
      <c r="K36" s="110"/>
      <c r="L36" s="110"/>
      <c r="M36" s="110"/>
      <c r="N36" s="110"/>
      <c r="O36" s="111"/>
      <c r="P36" s="111"/>
      <c r="Q36" s="111"/>
      <c r="R36" s="111"/>
      <c r="S36" s="15"/>
      <c r="T36" s="10"/>
      <c r="U36" s="379" t="s">
        <v>153</v>
      </c>
      <c r="V36" s="92" t="s">
        <v>154</v>
      </c>
      <c r="W36" s="421" t="e">
        <f>W30/W33</f>
        <v>#DIV/0!</v>
      </c>
      <c r="X36" s="92" t="s">
        <v>156</v>
      </c>
      <c r="Y36" s="57"/>
      <c r="Z36" s="61"/>
      <c r="AA36" s="421" t="e">
        <f>AA30/AA33</f>
        <v>#DIV/0!</v>
      </c>
      <c r="AB36" s="56" t="s">
        <v>157</v>
      </c>
      <c r="AC36" s="56"/>
      <c r="AD36" s="94"/>
      <c r="AE36" s="95" t="s">
        <v>158</v>
      </c>
      <c r="AF36" s="61"/>
      <c r="AG36" s="61"/>
      <c r="AH36" s="61"/>
      <c r="AI36" s="61"/>
      <c r="AJ36" s="61"/>
      <c r="AK36" s="61"/>
      <c r="AL36" s="61"/>
      <c r="AM36" s="92" t="s">
        <v>844</v>
      </c>
      <c r="AN36" s="61"/>
      <c r="AO36" s="61"/>
      <c r="AP36" s="421" t="e">
        <f>AP30/AP32*1000</f>
        <v>#DIV/0!</v>
      </c>
      <c r="AQ36" s="56" t="s">
        <v>160</v>
      </c>
      <c r="AR36" s="14"/>
    </row>
    <row r="37" spans="1:122" ht="13.5" customHeight="1" thickTop="1" thickBot="1" x14ac:dyDescent="0.25">
      <c r="A37" s="109"/>
      <c r="B37" s="249"/>
      <c r="C37" s="249"/>
      <c r="D37" s="249"/>
      <c r="E37" s="249"/>
      <c r="F37" s="249"/>
      <c r="G37" s="249"/>
      <c r="H37" s="249"/>
      <c r="I37" s="249"/>
      <c r="J37" s="249"/>
      <c r="K37" s="249"/>
      <c r="L37" s="249"/>
      <c r="M37" s="249"/>
      <c r="N37" s="249"/>
      <c r="O37" s="249"/>
      <c r="P37" s="249"/>
      <c r="Q37" s="249"/>
      <c r="R37" s="249"/>
      <c r="S37" s="112"/>
      <c r="T37" s="10"/>
      <c r="U37" s="379" t="s">
        <v>158</v>
      </c>
      <c r="V37" s="92" t="s">
        <v>845</v>
      </c>
      <c r="W37" s="435" t="e">
        <f>1000*W30/W32</f>
        <v>#DIV/0!</v>
      </c>
      <c r="X37" s="56" t="s">
        <v>161</v>
      </c>
      <c r="Y37" s="57"/>
      <c r="Z37" s="61"/>
      <c r="AA37" s="435" t="e">
        <f>1000*AA30/AA32</f>
        <v>#DIV/0!</v>
      </c>
      <c r="AB37" s="56" t="s">
        <v>162</v>
      </c>
      <c r="AC37" s="56"/>
      <c r="AD37" s="94"/>
      <c r="AE37" s="95" t="s">
        <v>163</v>
      </c>
      <c r="AF37" s="61"/>
      <c r="AG37" s="61"/>
      <c r="AH37" s="61"/>
      <c r="AI37" s="61"/>
      <c r="AJ37" s="61"/>
      <c r="AK37" s="61"/>
      <c r="AL37" s="61"/>
      <c r="AM37" s="92" t="s">
        <v>164</v>
      </c>
      <c r="AN37" s="61"/>
      <c r="AO37" s="61"/>
      <c r="AP37" s="327" t="e">
        <f>AP30*$E$20/(AP33*60)</f>
        <v>#DIV/0!</v>
      </c>
      <c r="AQ37" s="56" t="s">
        <v>165</v>
      </c>
      <c r="AR37" s="14"/>
    </row>
    <row r="38" spans="1:122" ht="15.6" customHeight="1" thickTop="1" x14ac:dyDescent="0.2">
      <c r="B38" s="118" t="str">
        <f>"TEST #4 "&amp;D7</f>
        <v xml:space="preserve">TEST #4 </v>
      </c>
      <c r="S38" s="2"/>
      <c r="T38" s="21"/>
      <c r="U38" s="379" t="s">
        <v>166</v>
      </c>
      <c r="V38" s="92" t="s">
        <v>159</v>
      </c>
      <c r="W38" s="435" t="e">
        <f>W37*75/($N$20-W8)</f>
        <v>#DIV/0!</v>
      </c>
      <c r="X38" s="56" t="s">
        <v>167</v>
      </c>
      <c r="Y38" s="57"/>
      <c r="Z38" s="61"/>
      <c r="AA38" s="435" t="e">
        <f>AA37*75/($N$20-AE8)</f>
        <v>#DIV/0!</v>
      </c>
      <c r="AB38" s="56" t="s">
        <v>168</v>
      </c>
      <c r="AC38" s="56"/>
      <c r="AD38" s="94"/>
      <c r="AE38" s="95" t="s">
        <v>169</v>
      </c>
      <c r="AF38" s="61"/>
      <c r="AG38" s="61"/>
      <c r="AH38" s="61"/>
      <c r="AI38" s="61"/>
      <c r="AJ38" s="61"/>
      <c r="AK38" s="61"/>
      <c r="AL38" s="61"/>
      <c r="AM38" s="92" t="s">
        <v>92</v>
      </c>
      <c r="AN38" s="61"/>
      <c r="AO38" s="61"/>
      <c r="AP38" s="417" t="e">
        <f>W40/AP37</f>
        <v>#DIV/0!</v>
      </c>
      <c r="AQ38" s="92" t="s">
        <v>170</v>
      </c>
      <c r="AR38" s="14"/>
    </row>
    <row r="39" spans="1:122" ht="15.6" customHeight="1" thickBot="1" x14ac:dyDescent="0.25">
      <c r="B39" s="619" t="s">
        <v>747</v>
      </c>
      <c r="C39" s="620"/>
      <c r="D39" s="620"/>
      <c r="E39" s="620"/>
      <c r="F39" s="620"/>
      <c r="G39" s="620"/>
      <c r="H39" s="620"/>
      <c r="I39" s="620"/>
      <c r="J39" s="620"/>
      <c r="K39" s="620"/>
      <c r="L39" s="620"/>
      <c r="M39" s="620"/>
      <c r="N39" s="620"/>
      <c r="O39" s="620"/>
      <c r="P39" s="620"/>
      <c r="Q39" s="620"/>
      <c r="R39" s="621"/>
      <c r="T39" s="21"/>
      <c r="U39" s="379" t="s">
        <v>171</v>
      </c>
      <c r="V39" s="92" t="s">
        <v>172</v>
      </c>
      <c r="W39" s="93" t="e">
        <f>(W38/1000)*E20</f>
        <v>#DIV/0!</v>
      </c>
      <c r="X39" s="56" t="s">
        <v>173</v>
      </c>
      <c r="Y39" s="57"/>
      <c r="Z39" s="61"/>
      <c r="AA39" s="93" t="e">
        <f>(AA38/1000)*E20</f>
        <v>#DIV/0!</v>
      </c>
      <c r="AB39" s="56" t="s">
        <v>174</v>
      </c>
      <c r="AC39" s="56"/>
      <c r="AD39" s="94"/>
      <c r="AE39" s="102" t="s">
        <v>175</v>
      </c>
      <c r="AF39" s="103"/>
      <c r="AG39" s="103"/>
      <c r="AH39" s="103"/>
      <c r="AI39" s="103"/>
      <c r="AJ39" s="103"/>
      <c r="AK39" s="103"/>
      <c r="AL39" s="103"/>
      <c r="AM39" s="104" t="s">
        <v>172</v>
      </c>
      <c r="AN39" s="103"/>
      <c r="AO39" s="103"/>
      <c r="AP39" s="105" t="e">
        <f>(AP36/1000)*E20</f>
        <v>#DIV/0!</v>
      </c>
      <c r="AQ39" s="106" t="s">
        <v>176</v>
      </c>
      <c r="AR39" s="107"/>
    </row>
    <row r="40" spans="1:122" ht="14.25" thickBot="1" x14ac:dyDescent="0.25">
      <c r="B40" s="616"/>
      <c r="C40" s="617"/>
      <c r="D40" s="617"/>
      <c r="E40" s="617"/>
      <c r="F40" s="617"/>
      <c r="G40" s="617"/>
      <c r="H40" s="617"/>
      <c r="I40" s="617"/>
      <c r="J40" s="617"/>
      <c r="K40" s="617"/>
      <c r="L40" s="617"/>
      <c r="M40" s="617"/>
      <c r="N40" s="617"/>
      <c r="O40" s="617"/>
      <c r="P40" s="617"/>
      <c r="Q40" s="617"/>
      <c r="R40" s="618"/>
      <c r="T40" s="21"/>
      <c r="U40" s="380" t="s">
        <v>163</v>
      </c>
      <c r="V40" s="115" t="s">
        <v>164</v>
      </c>
      <c r="W40" s="422" t="e">
        <f>W30*$E$20/(W33*60)</f>
        <v>#DIV/0!</v>
      </c>
      <c r="X40" s="376" t="s">
        <v>177</v>
      </c>
      <c r="Y40" s="252"/>
      <c r="Z40" s="114"/>
      <c r="AA40" s="422" t="e">
        <f>AA30*$E$20/(AA33*60)</f>
        <v>#DIV/0!</v>
      </c>
      <c r="AB40" s="376" t="s">
        <v>178</v>
      </c>
      <c r="AC40" s="376"/>
      <c r="AD40" s="253"/>
      <c r="AE40" s="3" t="s">
        <v>179</v>
      </c>
      <c r="AM40" s="3" t="s">
        <v>20</v>
      </c>
      <c r="AP40" s="388" t="e">
        <f>IF(ISERROR(AA38),5*(W38+AP36),5*(AVERAGE(W38,AA38)+AP36))</f>
        <v>#DIV/0!</v>
      </c>
      <c r="AQ40" s="108" t="s">
        <v>180</v>
      </c>
      <c r="AR40" s="14"/>
      <c r="DG40" s="1"/>
      <c r="DH40" s="1"/>
      <c r="DI40" s="1"/>
      <c r="DJ40" s="1"/>
      <c r="DK40" s="1"/>
      <c r="DL40" s="1"/>
      <c r="DM40" s="1"/>
      <c r="DN40" s="1"/>
      <c r="DO40" s="1"/>
      <c r="DP40" s="1"/>
      <c r="DQ40" s="1"/>
      <c r="DR40" s="1"/>
    </row>
    <row r="41" spans="1:122" ht="15.6" customHeight="1" thickTop="1" thickBot="1" x14ac:dyDescent="0.2">
      <c r="B41" s="616"/>
      <c r="C41" s="617"/>
      <c r="D41" s="617"/>
      <c r="E41" s="617"/>
      <c r="F41" s="617"/>
      <c r="G41" s="617"/>
      <c r="H41" s="617"/>
      <c r="I41" s="617"/>
      <c r="J41" s="617"/>
      <c r="K41" s="617"/>
      <c r="L41" s="617"/>
      <c r="M41" s="617"/>
      <c r="N41" s="617"/>
      <c r="O41" s="617"/>
      <c r="P41" s="617"/>
      <c r="Q41" s="617"/>
      <c r="R41" s="618"/>
      <c r="T41" s="13"/>
      <c r="U41" s="13"/>
      <c r="V41" s="13"/>
      <c r="W41" s="13"/>
      <c r="X41" s="13"/>
      <c r="Y41" s="8"/>
      <c r="Z41" s="8"/>
      <c r="AA41" s="8"/>
      <c r="AB41" s="13"/>
      <c r="AC41" s="8"/>
      <c r="AD41" s="384"/>
      <c r="AE41" s="114" t="s">
        <v>181</v>
      </c>
      <c r="AF41" s="114"/>
      <c r="AG41" s="114"/>
      <c r="AH41" s="114"/>
      <c r="AI41" s="114"/>
      <c r="AJ41" s="114"/>
      <c r="AK41" s="114"/>
      <c r="AL41" s="114"/>
      <c r="AM41" s="114" t="s">
        <v>182</v>
      </c>
      <c r="AN41" s="114"/>
      <c r="AO41" s="114"/>
      <c r="AP41" s="254" t="e">
        <f>(AP40/1000)*E20</f>
        <v>#DIV/0!</v>
      </c>
      <c r="AQ41" s="115" t="s">
        <v>183</v>
      </c>
      <c r="AR41" s="116"/>
      <c r="DG41" s="1"/>
      <c r="DH41" s="1"/>
      <c r="DI41" s="1"/>
      <c r="DJ41" s="1"/>
      <c r="DK41" s="1"/>
      <c r="DL41" s="1"/>
      <c r="DM41" s="1"/>
      <c r="DN41" s="1"/>
      <c r="DO41" s="1"/>
      <c r="DP41" s="1"/>
      <c r="DQ41" s="1"/>
      <c r="DR41" s="1"/>
    </row>
    <row r="42" spans="1:122" ht="15.6" customHeight="1" thickTop="1" thickBot="1" x14ac:dyDescent="0.2">
      <c r="B42" s="616"/>
      <c r="C42" s="617"/>
      <c r="D42" s="617"/>
      <c r="E42" s="617"/>
      <c r="F42" s="617"/>
      <c r="G42" s="617"/>
      <c r="H42" s="617"/>
      <c r="I42" s="617"/>
      <c r="J42" s="617"/>
      <c r="K42" s="617"/>
      <c r="L42" s="617"/>
      <c r="M42" s="617"/>
      <c r="N42" s="617"/>
      <c r="O42" s="617"/>
      <c r="P42" s="617"/>
      <c r="Q42" s="617"/>
      <c r="R42" s="618"/>
      <c r="U42" s="387" t="s">
        <v>966</v>
      </c>
      <c r="W42" s="108">
        <v>1</v>
      </c>
      <c r="DG42" s="1"/>
      <c r="DH42" s="1"/>
      <c r="DI42" s="1"/>
      <c r="DJ42" s="1"/>
      <c r="DK42" s="1"/>
      <c r="DL42" s="1"/>
      <c r="DM42" s="1"/>
      <c r="DN42" s="1"/>
      <c r="DO42" s="1"/>
      <c r="DP42" s="1"/>
      <c r="DQ42" s="1"/>
      <c r="DR42" s="1"/>
    </row>
    <row r="43" spans="1:122" ht="15.6" customHeight="1" thickTop="1" x14ac:dyDescent="0.15">
      <c r="B43" s="616"/>
      <c r="C43" s="617"/>
      <c r="D43" s="617"/>
      <c r="E43" s="617"/>
      <c r="F43" s="617"/>
      <c r="G43" s="617"/>
      <c r="H43" s="617"/>
      <c r="I43" s="617"/>
      <c r="J43" s="617"/>
      <c r="K43" s="617"/>
      <c r="L43" s="617"/>
      <c r="M43" s="617"/>
      <c r="N43" s="617"/>
      <c r="O43" s="617"/>
      <c r="P43" s="617"/>
      <c r="Q43" s="617"/>
      <c r="R43" s="618"/>
      <c r="U43" s="283" t="s">
        <v>952</v>
      </c>
      <c r="V43" s="284"/>
      <c r="W43" s="285"/>
      <c r="X43" s="410"/>
      <c r="Y43" s="287"/>
      <c r="Z43" s="287"/>
      <c r="AA43" s="287"/>
      <c r="AB43" s="287"/>
      <c r="AC43" s="287"/>
      <c r="AD43" s="287"/>
      <c r="AE43" s="285" t="s">
        <v>88</v>
      </c>
      <c r="AF43" s="288" t="s">
        <v>866</v>
      </c>
      <c r="DG43" s="1"/>
      <c r="DH43" s="1"/>
      <c r="DI43" s="1"/>
      <c r="DJ43" s="1"/>
      <c r="DK43" s="1"/>
      <c r="DL43" s="1"/>
      <c r="DM43" s="1"/>
      <c r="DN43" s="1"/>
      <c r="DO43" s="1"/>
      <c r="DP43" s="1"/>
      <c r="DQ43" s="1"/>
      <c r="DR43" s="1"/>
    </row>
    <row r="44" spans="1:122" ht="15.6" customHeight="1" x14ac:dyDescent="0.15">
      <c r="B44" s="616"/>
      <c r="C44" s="617"/>
      <c r="D44" s="617"/>
      <c r="E44" s="617"/>
      <c r="F44" s="617"/>
      <c r="G44" s="617"/>
      <c r="H44" s="617"/>
      <c r="I44" s="617"/>
      <c r="J44" s="617"/>
      <c r="K44" s="617"/>
      <c r="L44" s="617"/>
      <c r="M44" s="617"/>
      <c r="N44" s="617"/>
      <c r="O44" s="617"/>
      <c r="P44" s="617"/>
      <c r="Q44" s="617"/>
      <c r="R44" s="618"/>
      <c r="U44" s="289" t="s">
        <v>851</v>
      </c>
      <c r="V44" s="290"/>
      <c r="AB44" s="22" t="s">
        <v>113</v>
      </c>
      <c r="AE44" s="396" t="e">
        <f>IF(AA33=0,W35,(W35+AA35)/2)</f>
        <v>#DIV/0!</v>
      </c>
      <c r="AF44" s="423" t="e">
        <f>IF(AE44=0,"-",IF(AE44&lt;Lists!E15,"0",IF(AE44&lt;Lists!I15,1,IF(AE44&lt;Lists!K15,2,IF(AE44&lt;Lists!M15,3,4)))))</f>
        <v>#DIV/0!</v>
      </c>
      <c r="DG44" s="1"/>
      <c r="DH44" s="1"/>
      <c r="DI44" s="1"/>
      <c r="DJ44" s="1"/>
      <c r="DK44" s="1"/>
      <c r="DL44" s="1"/>
      <c r="DM44" s="1"/>
      <c r="DN44" s="1"/>
      <c r="DO44" s="1"/>
      <c r="DP44" s="1"/>
      <c r="DQ44" s="1"/>
      <c r="DR44" s="1"/>
    </row>
    <row r="45" spans="1:122" ht="15.6" customHeight="1" x14ac:dyDescent="0.15">
      <c r="B45" s="616"/>
      <c r="C45" s="617"/>
      <c r="D45" s="617"/>
      <c r="E45" s="617"/>
      <c r="F45" s="617"/>
      <c r="G45" s="617"/>
      <c r="H45" s="617"/>
      <c r="I45" s="617"/>
      <c r="J45" s="617"/>
      <c r="K45" s="617"/>
      <c r="L45" s="617"/>
      <c r="M45" s="617"/>
      <c r="N45" s="617"/>
      <c r="O45" s="617"/>
      <c r="P45" s="617"/>
      <c r="Q45" s="617"/>
      <c r="R45" s="618"/>
      <c r="U45" s="289" t="s">
        <v>958</v>
      </c>
      <c r="V45" s="290"/>
      <c r="AB45" s="22" t="s">
        <v>959</v>
      </c>
      <c r="AE45" s="403" t="e">
        <f>AP30*'General Information'!L22/(AP32*AP33*1000)</f>
        <v>#DIV/0!</v>
      </c>
      <c r="AF45" s="424" t="e">
        <f>IF(AE45&gt;Lists!E16,"0",IF(AE45&gt;Lists!I16,1,IF(AE45&gt;Lists!K16,2,IF(AE45&gt;Lists!M16,3,4))))</f>
        <v>#DIV/0!</v>
      </c>
    </row>
    <row r="46" spans="1:122" ht="15.6" customHeight="1" x14ac:dyDescent="0.15">
      <c r="B46" s="616"/>
      <c r="C46" s="617"/>
      <c r="D46" s="617"/>
      <c r="E46" s="617"/>
      <c r="F46" s="617"/>
      <c r="G46" s="617"/>
      <c r="H46" s="617"/>
      <c r="I46" s="617"/>
      <c r="J46" s="617"/>
      <c r="K46" s="617"/>
      <c r="L46" s="617"/>
      <c r="M46" s="617"/>
      <c r="N46" s="617"/>
      <c r="O46" s="617"/>
      <c r="P46" s="617"/>
      <c r="Q46" s="617"/>
      <c r="R46" s="618"/>
      <c r="U46" s="289" t="s">
        <v>854</v>
      </c>
      <c r="V46" s="290"/>
      <c r="AB46" s="22" t="s">
        <v>960</v>
      </c>
      <c r="AE46" s="402" t="e">
        <f>IF(W42=3,IF(AA33=0,1000000/'General Information'!L22*AA23/(W35*W30),1000000/'General Information'!L22*(AA23/(W35*W30)+AI23/(AA35*AA30))/2),IF(W42=1,IF(AA33=0,1000000/'General Information'!L22*W70/(W35*W30),1000000/'General Information'!L22*(W70/(W35*W30)+AA70/(AA35*AA30))/2),IF(AA33=0,1000000/'General Information'!L22*W74/(W35*W30),1000000/'General Information'!L22*(W74/(W35*W30)+AA74/(AA35*AA30))/2)))</f>
        <v>#DIV/0!</v>
      </c>
      <c r="AF46" s="424" t="e">
        <f xml:space="preserve"> IF(AE46&gt;Lists!E17,"0",IF(AE46&gt;Lists!I17,1,IF(AE46&gt;Lists!K17,2,IF(AE46&gt;Lists!M17,3,4))))</f>
        <v>#DIV/0!</v>
      </c>
    </row>
    <row r="47" spans="1:122" ht="15.6" customHeight="1" x14ac:dyDescent="0.15">
      <c r="B47" s="616"/>
      <c r="C47" s="617"/>
      <c r="D47" s="617"/>
      <c r="E47" s="617"/>
      <c r="F47" s="617"/>
      <c r="G47" s="617"/>
      <c r="H47" s="617"/>
      <c r="I47" s="617"/>
      <c r="J47" s="617"/>
      <c r="K47" s="617"/>
      <c r="L47" s="617"/>
      <c r="M47" s="617"/>
      <c r="N47" s="617"/>
      <c r="O47" s="617"/>
      <c r="P47" s="617"/>
      <c r="Q47" s="617"/>
      <c r="R47" s="618"/>
      <c r="U47" s="289" t="s">
        <v>856</v>
      </c>
      <c r="V47" s="290"/>
      <c r="AB47" s="22" t="s">
        <v>961</v>
      </c>
      <c r="AE47" s="403" t="e">
        <f>IF(W42=3,AP23/(AP33*AP32)*1000,IF(W42=1,AE70/(AP33*AP32)*1000,AE74/(AP33*AP32)*1000))</f>
        <v>#DIV/0!</v>
      </c>
      <c r="AF47" s="424" t="e">
        <f>IF(AE47&gt;Lists!E18,"0",IF(AE47&gt;Lists!I18,1,IF(AE47&gt;Lists!K18,2,IF(AE47&gt;Lists!M18,3,4))))</f>
        <v>#DIV/0!</v>
      </c>
    </row>
    <row r="48" spans="1:122" ht="15.6" customHeight="1" x14ac:dyDescent="0.15">
      <c r="B48" s="613"/>
      <c r="C48" s="614"/>
      <c r="D48" s="614"/>
      <c r="E48" s="614"/>
      <c r="F48" s="614"/>
      <c r="G48" s="614"/>
      <c r="H48" s="614"/>
      <c r="I48" s="614"/>
      <c r="J48" s="614"/>
      <c r="K48" s="614"/>
      <c r="L48" s="614"/>
      <c r="M48" s="614"/>
      <c r="N48" s="614"/>
      <c r="O48" s="614"/>
      <c r="P48" s="614"/>
      <c r="Q48" s="614"/>
      <c r="R48" s="615"/>
      <c r="U48" s="289" t="s">
        <v>858</v>
      </c>
      <c r="V48" s="290"/>
      <c r="AB48" s="22" t="s">
        <v>962</v>
      </c>
      <c r="AE48" s="404" t="e">
        <f>IF(W42=3,IF(AA33=0,10^9/'General Information'!L22*AA24/(W35*W30),10^9/'General Information'!L22*(AA24/(W35*W30)+AI24/(AA35*AA30))/2),IF(W42=1,IF(AA33=0,10^9/'General Information'!L22*W71/(W35*W30),10^9/'General Information'!L22*(W71/(W35*W30)+AA71/(AA35*AA30))/2),IF(AA33=0,10^9/'General Information'!L22*W75/(W35*W30),10^9/'General Information'!L22*(W75/(W35*W30)+AA75/(AA35*AA30))/2)))</f>
        <v>#DIV/0!</v>
      </c>
      <c r="AF48" s="424" t="e">
        <f>IF(AE48&gt;Lists!E19,"0",IF(AE48&gt;Lists!I19,1,IF(AE48&gt;Lists!K19,2,IF(AE48&gt;Lists!M19,3,4))))</f>
        <v>#DIV/0!</v>
      </c>
    </row>
    <row r="49" spans="2:35" ht="15.6" customHeight="1" x14ac:dyDescent="0.15">
      <c r="C49" s="1"/>
      <c r="H49" s="1"/>
      <c r="I49" s="1"/>
      <c r="J49" s="1"/>
      <c r="K49" s="1"/>
      <c r="L49" s="1"/>
      <c r="M49" s="1"/>
      <c r="N49" s="1"/>
      <c r="O49" s="1"/>
      <c r="P49" s="1"/>
      <c r="Q49" s="1"/>
      <c r="R49" s="1"/>
      <c r="U49" s="289" t="s">
        <v>860</v>
      </c>
      <c r="V49" s="290"/>
      <c r="AB49" s="22" t="s">
        <v>963</v>
      </c>
      <c r="AE49" s="397" t="e">
        <f>IF(W42=3,AP24/(AP33*AP32)*1000000,IF(W42=1,AE71/(AP33*AP32)*1000000,AE75/(AP33*AP32)*1000000))</f>
        <v>#DIV/0!</v>
      </c>
      <c r="AF49" s="424" t="e">
        <f>IF(AE49&gt;Lists!E20,"0",IF(AE49&gt;Lists!I20,1,IF(AE49&gt;Lists!K20,2,IF(AE49&gt;Lists!M20,3,4))))</f>
        <v>#DIV/0!</v>
      </c>
    </row>
    <row r="50" spans="2:35" ht="15.6" customHeight="1" x14ac:dyDescent="0.15">
      <c r="B50" s="619" t="s">
        <v>802</v>
      </c>
      <c r="C50" s="620"/>
      <c r="D50" s="620"/>
      <c r="E50" s="620"/>
      <c r="F50" s="620"/>
      <c r="G50" s="620"/>
      <c r="H50" s="620"/>
      <c r="I50" s="620"/>
      <c r="J50" s="620"/>
      <c r="K50" s="620"/>
      <c r="L50" s="620"/>
      <c r="M50" s="620"/>
      <c r="N50" s="620"/>
      <c r="O50" s="620"/>
      <c r="P50" s="620"/>
      <c r="Q50" s="620"/>
      <c r="R50" s="621"/>
      <c r="U50" s="289" t="s">
        <v>879</v>
      </c>
      <c r="V50" s="290"/>
      <c r="AB50" s="22" t="s">
        <v>154</v>
      </c>
      <c r="AE50" s="397" t="e">
        <f>IF(W42=3,IF(IF(AA33=0,AA23/W33,(AA23/W33+AI23/AA33)/2)&lt;(AP23/AP33),AP23/AP33,IF(AA33=0,AA23/W33,(AA23/W33+AI23/AA33)/2)),IF(W42=1,IF(IF(AA33=0,W70/W33,(W70/W33+AA70/AA33)/2)&lt;(AE70/AP33),AE70/AP33,IF(AA33=0,W70/W33,(W70/W33+AA70/AA33)/2)),IF(IF(AA33=0,W74/W33,(W74/W33+AA74/AA33)/2)&lt;(AE74/AP33),AE74/AP33,IF(AA33=0,W74/W33,(W74/W33+AA74/AA33)/2))))</f>
        <v>#DIV/0!</v>
      </c>
      <c r="AF50" s="424" t="e">
        <f>IF(AE50&gt;Lists!E21,"0",IF(AE50&gt;Lists!I21,1,IF(AE50&gt;Lists!K21,2,IF(AE50&gt;Lists!M21,3,4))))</f>
        <v>#DIV/0!</v>
      </c>
    </row>
    <row r="51" spans="2:35" ht="15.6" customHeight="1" thickBot="1" x14ac:dyDescent="0.2">
      <c r="B51" s="616"/>
      <c r="C51" s="617"/>
      <c r="D51" s="617"/>
      <c r="E51" s="617"/>
      <c r="F51" s="617"/>
      <c r="G51" s="617"/>
      <c r="H51" s="617"/>
      <c r="I51" s="617"/>
      <c r="J51" s="617"/>
      <c r="K51" s="617"/>
      <c r="L51" s="617"/>
      <c r="M51" s="617"/>
      <c r="N51" s="617"/>
      <c r="O51" s="617"/>
      <c r="P51" s="617"/>
      <c r="Q51" s="617"/>
      <c r="R51" s="618"/>
      <c r="U51" s="291" t="s">
        <v>878</v>
      </c>
      <c r="V51" s="292"/>
      <c r="W51" s="269"/>
      <c r="X51" s="269"/>
      <c r="Y51" s="269"/>
      <c r="Z51" s="269"/>
      <c r="AA51" s="269"/>
      <c r="AB51" s="270" t="s">
        <v>864</v>
      </c>
      <c r="AC51" s="269"/>
      <c r="AD51" s="269"/>
      <c r="AE51" s="405" t="e">
        <f>IF(W42=3,IF(IF(AA33=0,AA24/W33,(AA24/W33+AI24/AA33)/2)&lt;(AP24/AP33),AP24/AP33*1000,IF(AA33=0,AA24/W33,(AA24/W33+AI24/AA33)/2)*1000),IF(W42=1,IF(IF(AA33=0,W71/W33,(W71/W33+AA71/AA33)/2)&lt;(AE71/AP33),AE71/AP33*1000,IF(AA33=0,W71/W33,(W71/W33+AA71/AA33)/2)*1000),IF(IF(AA33=0,W75/W33,(W75/W33+AA75/AA33)/2)&lt;(AE75/AP33),AE75/AP33*1000,IF(AA33=0,W75/W33,(W75/W33+AA75/AA33)/2)*1000)))</f>
        <v>#DIV/0!</v>
      </c>
      <c r="AF51" s="425" t="e">
        <f>IF(AE51&gt;Lists!E22,"0",IF(AE51&gt;Lists!I22,1,IF(AE51&gt;Lists!K22,2,IF(AE51&gt;Lists!M22,3,4))))</f>
        <v>#DIV/0!</v>
      </c>
      <c r="AI51" s="13"/>
    </row>
    <row r="52" spans="2:35" ht="15.6" customHeight="1" thickTop="1" thickBot="1" x14ac:dyDescent="0.2">
      <c r="B52" s="616"/>
      <c r="C52" s="617"/>
      <c r="D52" s="617"/>
      <c r="E52" s="617"/>
      <c r="F52" s="617"/>
      <c r="G52" s="617"/>
      <c r="H52" s="617"/>
      <c r="I52" s="617"/>
      <c r="J52" s="617"/>
      <c r="K52" s="617"/>
      <c r="L52" s="617"/>
      <c r="M52" s="617"/>
      <c r="N52" s="617"/>
      <c r="O52" s="617"/>
      <c r="P52" s="617"/>
      <c r="Q52" s="617"/>
      <c r="R52" s="618"/>
      <c r="U52" s="118" t="str">
        <f>"TEST #4 "&amp;D7</f>
        <v xml:space="preserve">TEST #4 </v>
      </c>
      <c r="V52" s="86" t="s">
        <v>804</v>
      </c>
      <c r="AI52" s="13"/>
    </row>
    <row r="53" spans="2:35" ht="15.6" customHeight="1" thickTop="1" x14ac:dyDescent="0.15">
      <c r="B53" s="616"/>
      <c r="C53" s="617"/>
      <c r="D53" s="617"/>
      <c r="E53" s="617"/>
      <c r="F53" s="617"/>
      <c r="G53" s="617"/>
      <c r="H53" s="617"/>
      <c r="I53" s="617"/>
      <c r="J53" s="617"/>
      <c r="K53" s="617"/>
      <c r="L53" s="617"/>
      <c r="M53" s="617"/>
      <c r="N53" s="617"/>
      <c r="O53" s="617"/>
      <c r="P53" s="617"/>
      <c r="Q53" s="617"/>
      <c r="R53" s="618"/>
      <c r="T53" s="7"/>
      <c r="U53" s="8"/>
      <c r="V53" s="8"/>
      <c r="W53" s="260" t="s">
        <v>110</v>
      </c>
      <c r="X53" s="8"/>
      <c r="Y53" s="261"/>
      <c r="Z53" s="8"/>
      <c r="AA53" s="260" t="s">
        <v>111</v>
      </c>
      <c r="AB53" s="8"/>
      <c r="AC53" s="261"/>
      <c r="AD53" s="8"/>
      <c r="AE53" s="260" t="s">
        <v>2</v>
      </c>
      <c r="AF53" s="8"/>
      <c r="AG53" s="146"/>
      <c r="AH53" s="146"/>
      <c r="AI53" s="271"/>
    </row>
    <row r="54" spans="2:35" ht="15.6" customHeight="1" x14ac:dyDescent="0.15">
      <c r="B54" s="616"/>
      <c r="C54" s="617"/>
      <c r="D54" s="617"/>
      <c r="E54" s="617"/>
      <c r="F54" s="617"/>
      <c r="G54" s="617"/>
      <c r="H54" s="617"/>
      <c r="I54" s="617"/>
      <c r="J54" s="617"/>
      <c r="K54" s="617"/>
      <c r="L54" s="617"/>
      <c r="M54" s="617"/>
      <c r="N54" s="617"/>
      <c r="O54" s="617"/>
      <c r="P54" s="617"/>
      <c r="Q54" s="617"/>
      <c r="R54" s="618"/>
      <c r="T54" s="10"/>
      <c r="U54" s="88" t="s">
        <v>116</v>
      </c>
      <c r="V54" s="89" t="s">
        <v>9</v>
      </c>
      <c r="W54" s="89" t="s">
        <v>10</v>
      </c>
      <c r="X54" s="89" t="s">
        <v>11</v>
      </c>
      <c r="Y54" s="46"/>
      <c r="Z54" s="13"/>
      <c r="AA54" s="89" t="s">
        <v>10</v>
      </c>
      <c r="AB54" s="89" t="s">
        <v>11</v>
      </c>
      <c r="AC54" s="46"/>
      <c r="AD54" s="13"/>
      <c r="AE54" s="89" t="s">
        <v>10</v>
      </c>
      <c r="AF54" s="89" t="s">
        <v>11</v>
      </c>
      <c r="AG54" s="71"/>
      <c r="AH54" s="71"/>
      <c r="AI54" s="271"/>
    </row>
    <row r="55" spans="2:35" ht="15.6" customHeight="1" x14ac:dyDescent="0.3">
      <c r="B55" s="616"/>
      <c r="C55" s="617"/>
      <c r="D55" s="617"/>
      <c r="E55" s="617"/>
      <c r="F55" s="617"/>
      <c r="G55" s="617"/>
      <c r="H55" s="617"/>
      <c r="I55" s="617"/>
      <c r="J55" s="617"/>
      <c r="K55" s="617"/>
      <c r="L55" s="617"/>
      <c r="M55" s="617"/>
      <c r="N55" s="617"/>
      <c r="O55" s="617"/>
      <c r="P55" s="617"/>
      <c r="Q55" s="617"/>
      <c r="R55" s="618"/>
      <c r="T55" s="10"/>
      <c r="U55" s="91" t="s">
        <v>805</v>
      </c>
      <c r="V55" s="92" t="s">
        <v>806</v>
      </c>
      <c r="W55" s="427">
        <f>'General Information'!$C$24*W33/60</f>
        <v>0</v>
      </c>
      <c r="X55" s="350" t="s">
        <v>884</v>
      </c>
      <c r="Y55" s="57"/>
      <c r="Z55" s="61"/>
      <c r="AA55" s="426">
        <f>'General Information'!$C$24*AA33/60</f>
        <v>0</v>
      </c>
      <c r="AB55" s="351" t="s">
        <v>885</v>
      </c>
      <c r="AC55" s="46"/>
      <c r="AD55" s="13"/>
      <c r="AE55" s="426">
        <f>'General Information'!$C$24*AP33/60</f>
        <v>0</v>
      </c>
      <c r="AF55" s="351" t="s">
        <v>886</v>
      </c>
      <c r="AG55" s="71"/>
      <c r="AH55" s="71"/>
      <c r="AI55" s="271"/>
    </row>
    <row r="56" spans="2:35" ht="15.6" customHeight="1" x14ac:dyDescent="0.3">
      <c r="B56" s="616"/>
      <c r="C56" s="617"/>
      <c r="D56" s="617"/>
      <c r="E56" s="617"/>
      <c r="F56" s="617"/>
      <c r="G56" s="617"/>
      <c r="H56" s="617"/>
      <c r="I56" s="617"/>
      <c r="J56" s="617"/>
      <c r="K56" s="617"/>
      <c r="L56" s="617"/>
      <c r="M56" s="617"/>
      <c r="N56" s="617"/>
      <c r="O56" s="617"/>
      <c r="P56" s="617"/>
      <c r="Q56" s="617"/>
      <c r="R56" s="618"/>
      <c r="T56" s="10"/>
      <c r="U56" s="91" t="s">
        <v>814</v>
      </c>
      <c r="V56" s="92" t="s">
        <v>781</v>
      </c>
      <c r="W56" s="421" t="e">
        <f>((AA18-$N21)+(AA19-$N22)+(AA20-$N23)/15/('General Information'!$C$22/0.008314/(AA21+273.15)))</f>
        <v>#DIV/0!</v>
      </c>
      <c r="X56" s="350" t="s">
        <v>887</v>
      </c>
      <c r="Y56" s="57"/>
      <c r="Z56" s="61"/>
      <c r="AA56" s="429" t="e">
        <f>((AI18-$N21)+(AI19-$N22)+(AI20-$N23)/15/('General Information'!$C$22/0.008314/(AI21+273.15)))</f>
        <v>#DIV/0!</v>
      </c>
      <c r="AB56" s="351" t="s">
        <v>888</v>
      </c>
      <c r="AC56" s="57"/>
      <c r="AD56" s="13"/>
      <c r="AE56" s="429" t="e">
        <f>((AP18-$N21)+(AP19-$N22)+(AP20-$N23)/15/('General Information'!$C$22/0.008314/(AP21+273.15)))</f>
        <v>#DIV/0!</v>
      </c>
      <c r="AF56" s="351" t="s">
        <v>889</v>
      </c>
      <c r="AG56" s="71"/>
      <c r="AH56" s="71"/>
      <c r="AI56" s="271"/>
    </row>
    <row r="57" spans="2:35" ht="15.6" customHeight="1" x14ac:dyDescent="0.3">
      <c r="B57" s="616"/>
      <c r="C57" s="617"/>
      <c r="D57" s="617"/>
      <c r="E57" s="617"/>
      <c r="F57" s="617"/>
      <c r="G57" s="617"/>
      <c r="H57" s="617"/>
      <c r="I57" s="617"/>
      <c r="J57" s="617"/>
      <c r="K57" s="617"/>
      <c r="L57" s="617"/>
      <c r="M57" s="617"/>
      <c r="N57" s="617"/>
      <c r="O57" s="617"/>
      <c r="P57" s="617"/>
      <c r="Q57" s="617"/>
      <c r="R57" s="618"/>
      <c r="T57" s="10"/>
      <c r="U57" s="91" t="s">
        <v>807</v>
      </c>
      <c r="V57" s="92" t="s">
        <v>808</v>
      </c>
      <c r="W57" s="395" t="e">
        <f>'General Information'!$C$22/0.008314/(AA21+273.15)*W56*0.000001*12</f>
        <v>#DIV/0!</v>
      </c>
      <c r="X57" s="350" t="s">
        <v>890</v>
      </c>
      <c r="Y57" s="57"/>
      <c r="Z57" s="61"/>
      <c r="AA57" s="392" t="e">
        <f>'General Information'!$C$22/0.008314/(AI21+273.15)*AA56*0.000001*12</f>
        <v>#DIV/0!</v>
      </c>
      <c r="AB57" s="351" t="s">
        <v>891</v>
      </c>
      <c r="AC57" s="57"/>
      <c r="AD57" s="13"/>
      <c r="AE57" s="392" t="e">
        <f>'General Information'!$C$22/0.008314/(AP21+273.15)*AE56*0.000001*12</f>
        <v>#DIV/0!</v>
      </c>
      <c r="AF57" s="351" t="s">
        <v>892</v>
      </c>
      <c r="AG57" s="71"/>
      <c r="AH57" s="71"/>
      <c r="AI57" s="271"/>
    </row>
    <row r="58" spans="2:35" ht="15.6" customHeight="1" x14ac:dyDescent="0.15">
      <c r="B58" s="616"/>
      <c r="C58" s="617"/>
      <c r="D58" s="617"/>
      <c r="E58" s="617"/>
      <c r="F58" s="617"/>
      <c r="G58" s="617"/>
      <c r="H58" s="617"/>
      <c r="I58" s="617"/>
      <c r="J58" s="617"/>
      <c r="K58" s="617"/>
      <c r="L58" s="617"/>
      <c r="M58" s="617"/>
      <c r="N58" s="617"/>
      <c r="O58" s="617"/>
      <c r="P58" s="617"/>
      <c r="Q58" s="617"/>
      <c r="R58" s="618"/>
      <c r="T58" s="10"/>
      <c r="U58" s="91" t="s">
        <v>877</v>
      </c>
      <c r="V58" s="92" t="s">
        <v>20</v>
      </c>
      <c r="W58" s="93" t="e">
        <f>W57*W55/fuelFracC</f>
        <v>#DIV/0!</v>
      </c>
      <c r="X58" s="351" t="s">
        <v>893</v>
      </c>
      <c r="Y58" s="57"/>
      <c r="Z58" s="61"/>
      <c r="AA58" s="392" t="e">
        <f>AA57*AA55/fuelFracC</f>
        <v>#DIV/0!</v>
      </c>
      <c r="AB58" s="351" t="s">
        <v>894</v>
      </c>
      <c r="AC58" s="57"/>
      <c r="AD58" s="13"/>
      <c r="AE58" s="392" t="e">
        <f>AE57*AE55/fuelFracC</f>
        <v>#DIV/0!</v>
      </c>
      <c r="AF58" s="351" t="s">
        <v>895</v>
      </c>
      <c r="AG58" s="13"/>
      <c r="AH58" s="13"/>
      <c r="AI58" s="271"/>
    </row>
    <row r="59" spans="2:35" ht="15.6" customHeight="1" x14ac:dyDescent="0.15">
      <c r="B59" s="613"/>
      <c r="C59" s="614"/>
      <c r="D59" s="614"/>
      <c r="E59" s="614"/>
      <c r="F59" s="614"/>
      <c r="G59" s="614"/>
      <c r="H59" s="614"/>
      <c r="I59" s="614"/>
      <c r="J59" s="614"/>
      <c r="K59" s="614"/>
      <c r="L59" s="614"/>
      <c r="M59" s="614"/>
      <c r="N59" s="614"/>
      <c r="O59" s="614"/>
      <c r="P59" s="614"/>
      <c r="Q59" s="614"/>
      <c r="R59" s="615"/>
      <c r="T59" s="10"/>
      <c r="U59" s="13" t="s">
        <v>824</v>
      </c>
      <c r="V59" s="22" t="s">
        <v>113</v>
      </c>
      <c r="W59" s="431" t="e">
        <f>W58/((1-$E$18)*(W28)-W29*charFracC/'General Information'!L23)</f>
        <v>#DIV/0!</v>
      </c>
      <c r="X59" s="351" t="s">
        <v>896</v>
      </c>
      <c r="Y59" s="334"/>
      <c r="Z59" s="335"/>
      <c r="AA59" s="430" t="e">
        <f>AA58/((1-$E$18)*(AA28)-AA29*charFracC/'General Information'!L23)</f>
        <v>#DIV/0!</v>
      </c>
      <c r="AB59" s="351" t="s">
        <v>897</v>
      </c>
      <c r="AC59" s="334"/>
      <c r="AD59" s="336"/>
      <c r="AE59" s="430" t="e">
        <f>AE58/((1-$E$18)*(AP28)-AP29*charFracC/'General Information'!L23)</f>
        <v>#DIV/0!</v>
      </c>
      <c r="AF59" s="351" t="s">
        <v>898</v>
      </c>
      <c r="AG59" s="13"/>
      <c r="AH59" s="13"/>
      <c r="AI59" s="271"/>
    </row>
    <row r="60" spans="2:35" ht="15.6" customHeight="1" x14ac:dyDescent="0.15">
      <c r="T60" s="10"/>
      <c r="U60" s="262" t="s">
        <v>813</v>
      </c>
      <c r="V60" s="13"/>
      <c r="W60" s="312"/>
      <c r="X60" s="56"/>
      <c r="Y60" s="57"/>
      <c r="Z60" s="61"/>
      <c r="AA60" s="2"/>
      <c r="AB60" s="22"/>
      <c r="AC60" s="57"/>
      <c r="AD60" s="13"/>
      <c r="AE60" s="312"/>
      <c r="AF60" s="22"/>
      <c r="AG60" s="22"/>
      <c r="AH60" s="13"/>
      <c r="AI60" s="271"/>
    </row>
    <row r="61" spans="2:35" ht="15.6" customHeight="1" x14ac:dyDescent="0.15">
      <c r="B61" s="619" t="s">
        <v>803</v>
      </c>
      <c r="C61" s="620"/>
      <c r="D61" s="620"/>
      <c r="E61" s="620"/>
      <c r="F61" s="620"/>
      <c r="G61" s="620"/>
      <c r="H61" s="620"/>
      <c r="I61" s="620"/>
      <c r="J61" s="620"/>
      <c r="K61" s="620"/>
      <c r="L61" s="620"/>
      <c r="M61" s="620"/>
      <c r="N61" s="620"/>
      <c r="O61" s="620"/>
      <c r="P61" s="620"/>
      <c r="Q61" s="620"/>
      <c r="R61" s="621"/>
      <c r="T61" s="10"/>
      <c r="U61" s="13" t="s">
        <v>812</v>
      </c>
      <c r="V61" s="22" t="s">
        <v>159</v>
      </c>
      <c r="W61" s="432" t="e">
        <f>IF($W$42=3,AA22/W$32*1000,IF($W$42=1,W69/W$32*1000,W73/W$32*1000))</f>
        <v>#DIV/0!</v>
      </c>
      <c r="X61" s="356" t="s">
        <v>919</v>
      </c>
      <c r="Y61" s="329"/>
      <c r="Z61" s="330"/>
      <c r="AA61" s="432" t="e">
        <f>IF($W$42=3,AI22/AA$32*1000,IF($W$42=1,AA69/AA$32*1000,AA73/AA$32*1000))</f>
        <v>#DIV/0!</v>
      </c>
      <c r="AB61" s="356" t="s">
        <v>920</v>
      </c>
      <c r="AC61" s="329"/>
      <c r="AD61" s="357"/>
      <c r="AE61" s="432" t="e">
        <f>IF($W$42=3,AP22/AP$32*1000,IF($W$42=1,AE69/AP$32*1000,AE73/AP$32*1000))</f>
        <v>#DIV/0!</v>
      </c>
      <c r="AF61" s="351" t="s">
        <v>921</v>
      </c>
      <c r="AG61" s="22"/>
      <c r="AH61" s="13"/>
      <c r="AI61" s="271"/>
    </row>
    <row r="62" spans="2:35" ht="15.6" customHeight="1" x14ac:dyDescent="0.15">
      <c r="B62" s="616"/>
      <c r="C62" s="617"/>
      <c r="D62" s="617"/>
      <c r="E62" s="617"/>
      <c r="F62" s="617"/>
      <c r="G62" s="617"/>
      <c r="H62" s="617"/>
      <c r="I62" s="617"/>
      <c r="J62" s="617"/>
      <c r="K62" s="617"/>
      <c r="L62" s="617"/>
      <c r="M62" s="617"/>
      <c r="N62" s="617"/>
      <c r="O62" s="617"/>
      <c r="P62" s="617"/>
      <c r="Q62" s="617"/>
      <c r="R62" s="618"/>
      <c r="T62" s="10"/>
      <c r="U62" s="13" t="s">
        <v>810</v>
      </c>
      <c r="V62" s="22" t="s">
        <v>159</v>
      </c>
      <c r="W62" s="406" t="e">
        <f>IF($W$42=3,AA23/W$32*1000,IF($W$42=1,W70/W$32*1000,W74/W$32*1000))</f>
        <v>#DIV/0!</v>
      </c>
      <c r="X62" s="358" t="s">
        <v>922</v>
      </c>
      <c r="Y62" s="337"/>
      <c r="Z62" s="338"/>
      <c r="AA62" s="406" t="e">
        <f>IF($W$42=3,AI23/AA$32*1000,IF($W$42=1,AA70/AA$32*1000,AA74/AA$32*1000))</f>
        <v>#DIV/0!</v>
      </c>
      <c r="AB62" s="358" t="s">
        <v>923</v>
      </c>
      <c r="AC62" s="337"/>
      <c r="AD62" s="54"/>
      <c r="AE62" s="406" t="e">
        <f>IF($W$42=3,AP23/AP$32*1000,IF($W$42=1,AE70/AP$32*1000,AE74/AP$32*1000))</f>
        <v>#DIV/0!</v>
      </c>
      <c r="AF62" s="351" t="s">
        <v>924</v>
      </c>
      <c r="AG62" s="22"/>
      <c r="AH62" s="13"/>
      <c r="AI62" s="271"/>
    </row>
    <row r="63" spans="2:35" ht="15.6" customHeight="1" x14ac:dyDescent="0.15">
      <c r="B63" s="616"/>
      <c r="C63" s="617"/>
      <c r="D63" s="617"/>
      <c r="E63" s="617"/>
      <c r="F63" s="617"/>
      <c r="G63" s="617"/>
      <c r="H63" s="617"/>
      <c r="I63" s="617"/>
      <c r="J63" s="617"/>
      <c r="K63" s="617"/>
      <c r="L63" s="617"/>
      <c r="M63" s="617"/>
      <c r="N63" s="617"/>
      <c r="O63" s="617"/>
      <c r="P63" s="617"/>
      <c r="Q63" s="617"/>
      <c r="R63" s="618"/>
      <c r="T63" s="10"/>
      <c r="U63" s="13" t="s">
        <v>811</v>
      </c>
      <c r="V63" s="22" t="s">
        <v>159</v>
      </c>
      <c r="W63" s="407" t="e">
        <f>IF($W$42=3,AA24/W$32*1000,IF($W$42=1,W71/W$32*1000,W75/W$32*1000))</f>
        <v>#DIV/0!</v>
      </c>
      <c r="X63" s="359" t="s">
        <v>925</v>
      </c>
      <c r="Y63" s="310"/>
      <c r="Z63" s="311"/>
      <c r="AA63" s="407" t="e">
        <f>IF($W$42=3,AI24/AA$32*1000,IF($W$42=1,AA71/AA$32*1000,AA75/AA$32*1000))</f>
        <v>#DIV/0!</v>
      </c>
      <c r="AB63" s="359" t="s">
        <v>926</v>
      </c>
      <c r="AC63" s="310"/>
      <c r="AD63" s="309"/>
      <c r="AE63" s="407" t="e">
        <f>IF($W$42=3,AP24/AP$32*1000,IF($W$42=1,AE71/AP$32*1000,AE75/AP$32*1000))</f>
        <v>#DIV/0!</v>
      </c>
      <c r="AF63" s="351" t="s">
        <v>927</v>
      </c>
      <c r="AG63" s="22"/>
      <c r="AH63" s="13"/>
      <c r="AI63" s="271"/>
    </row>
    <row r="64" spans="2:35" ht="15.6" customHeight="1" x14ac:dyDescent="0.15">
      <c r="B64" s="616"/>
      <c r="C64" s="617"/>
      <c r="D64" s="617"/>
      <c r="E64" s="617"/>
      <c r="F64" s="617"/>
      <c r="G64" s="617"/>
      <c r="H64" s="617"/>
      <c r="I64" s="617"/>
      <c r="J64" s="617"/>
      <c r="K64" s="617"/>
      <c r="L64" s="617"/>
      <c r="M64" s="617"/>
      <c r="N64" s="617"/>
      <c r="O64" s="617"/>
      <c r="P64" s="617"/>
      <c r="Q64" s="617"/>
      <c r="R64" s="618"/>
      <c r="T64" s="10"/>
      <c r="U64" s="262" t="s">
        <v>809</v>
      </c>
      <c r="V64" s="13"/>
      <c r="W64" s="2"/>
      <c r="X64" s="22"/>
      <c r="Y64" s="57"/>
      <c r="Z64" s="61"/>
      <c r="AA64" s="312"/>
      <c r="AB64" s="22"/>
      <c r="AC64" s="57"/>
      <c r="AD64" s="13"/>
      <c r="AE64" s="312"/>
      <c r="AF64" s="22"/>
      <c r="AG64" s="13"/>
      <c r="AH64" s="13"/>
      <c r="AI64" s="271"/>
    </row>
    <row r="65" spans="2:38" ht="15.6" customHeight="1" x14ac:dyDescent="0.15">
      <c r="B65" s="616"/>
      <c r="C65" s="617"/>
      <c r="D65" s="617"/>
      <c r="E65" s="617"/>
      <c r="F65" s="617"/>
      <c r="G65" s="617"/>
      <c r="H65" s="617"/>
      <c r="I65" s="617"/>
      <c r="J65" s="617"/>
      <c r="K65" s="617"/>
      <c r="L65" s="617"/>
      <c r="M65" s="617"/>
      <c r="N65" s="617"/>
      <c r="O65" s="617"/>
      <c r="P65" s="617"/>
      <c r="Q65" s="617"/>
      <c r="R65" s="618"/>
      <c r="T65" s="10"/>
      <c r="U65" s="13" t="s">
        <v>812</v>
      </c>
      <c r="V65" s="22" t="s">
        <v>821</v>
      </c>
      <c r="W65" s="93" t="e">
        <f>IF(W42=2,W73/(W28*(1-E18)-W29*charFracC/fuelFracC),IF(W56&gt;0,((AA18-$N21)*44/12)/(W$56/fuelFracC)*1000,0))</f>
        <v>#DIV/0!</v>
      </c>
      <c r="X65" s="351" t="s">
        <v>902</v>
      </c>
      <c r="Y65" s="57"/>
      <c r="Z65" s="61"/>
      <c r="AA65" s="85" t="e">
        <f>IF(W42=2,AA73/(AA28*(1-E18)-AA29*charFracC/fuelFracC),IF(AA56&gt;0,((AI18-$N21)*44/12)/(AA$56/fuelFracC)*1000,0))</f>
        <v>#DIV/0!</v>
      </c>
      <c r="AB65" s="351" t="s">
        <v>903</v>
      </c>
      <c r="AC65" s="57"/>
      <c r="AD65" s="13"/>
      <c r="AE65" s="85" t="e">
        <f>IF(W42=2,AE73/(AP28*(1-E18)-AP29*charFracC/fuelFracC),IF(AE56&gt;0,((AP18-$N21)*44/12)/(AE$56/fuelFracC)*1000,0))</f>
        <v>#DIV/0!</v>
      </c>
      <c r="AF65" s="351" t="s">
        <v>904</v>
      </c>
      <c r="AG65" s="13"/>
      <c r="AH65" s="13"/>
      <c r="AI65" s="271"/>
    </row>
    <row r="66" spans="2:38" ht="15.6" customHeight="1" x14ac:dyDescent="0.15">
      <c r="B66" s="616"/>
      <c r="C66" s="617"/>
      <c r="D66" s="617"/>
      <c r="E66" s="617"/>
      <c r="F66" s="617"/>
      <c r="G66" s="617"/>
      <c r="H66" s="617"/>
      <c r="I66" s="617"/>
      <c r="J66" s="617"/>
      <c r="K66" s="617"/>
      <c r="L66" s="617"/>
      <c r="M66" s="617"/>
      <c r="N66" s="617"/>
      <c r="O66" s="617"/>
      <c r="P66" s="617"/>
      <c r="Q66" s="617"/>
      <c r="R66" s="618"/>
      <c r="T66" s="10"/>
      <c r="U66" s="13" t="s">
        <v>810</v>
      </c>
      <c r="V66" s="22" t="s">
        <v>821</v>
      </c>
      <c r="W66" s="406" t="e">
        <f>IF(W42=2,W74/(W28*(1-E18)-W29*charFracC/fuelFracC),IF(W56&gt;0,((AA19-$N22)*28/12)/(W$56/fuelFracC)*1000,0))</f>
        <v>#DIV/0!</v>
      </c>
      <c r="X66" s="351" t="s">
        <v>899</v>
      </c>
      <c r="Y66" s="325"/>
      <c r="Z66" s="326"/>
      <c r="AA66" s="406" t="e">
        <f>IF(W42=2,AA74/(AA28*(1-E18)-AA29*charFracC/fuelFracC),IF(AA56&gt;0,((AI19-$N22)*28/12)/(AA$56/fuelFracC)*1000,0))</f>
        <v>#DIV/0!</v>
      </c>
      <c r="AB66" s="351" t="s">
        <v>900</v>
      </c>
      <c r="AC66" s="325"/>
      <c r="AD66" s="324"/>
      <c r="AE66" s="406" t="e">
        <f>IF(W42=2,AE74/(AP28*(1-E18)-AP29*charFracC/fuelFracC),IF(AE56&gt;0,((AP19-$N22)*28/12)/(AE$56/fuelFracC)*1000,0))</f>
        <v>#DIV/0!</v>
      </c>
      <c r="AF66" s="351" t="s">
        <v>901</v>
      </c>
      <c r="AG66" s="13"/>
      <c r="AH66" s="13"/>
      <c r="AI66" s="271"/>
      <c r="AL66" s="394"/>
    </row>
    <row r="67" spans="2:38" ht="15.6" customHeight="1" x14ac:dyDescent="0.15">
      <c r="B67" s="616"/>
      <c r="C67" s="617"/>
      <c r="D67" s="617"/>
      <c r="E67" s="617"/>
      <c r="F67" s="617"/>
      <c r="G67" s="617"/>
      <c r="H67" s="617"/>
      <c r="I67" s="617"/>
      <c r="J67" s="617"/>
      <c r="K67" s="617"/>
      <c r="L67" s="617"/>
      <c r="M67" s="617"/>
      <c r="N67" s="617"/>
      <c r="O67" s="617"/>
      <c r="P67" s="617"/>
      <c r="Q67" s="617"/>
      <c r="R67" s="618"/>
      <c r="T67" s="10"/>
      <c r="U67" s="13" t="s">
        <v>811</v>
      </c>
      <c r="V67" s="22" t="s">
        <v>821</v>
      </c>
      <c r="W67" s="408" t="e">
        <f>IF(W42=2,W75/(W28*(1-E18)-W29*charFracC/fuelFracC),IF(W57&gt;0,(AA20-$N23)/(W$57/fuelFracC)*1000/1000000,0))</f>
        <v>#DIV/0!</v>
      </c>
      <c r="X67" s="351" t="s">
        <v>905</v>
      </c>
      <c r="Y67" s="310"/>
      <c r="Z67" s="311"/>
      <c r="AA67" s="407" t="e">
        <f>IF(W42=2,AA75/(AA28*(1-E18)-AA29*charFracC/fuelFracC),IF(AA57&gt;0,(AI20-$N23)/(AA$57/fuelFracC)*1000/1000000,0))</f>
        <v>#DIV/0!</v>
      </c>
      <c r="AB67" s="351" t="s">
        <v>906</v>
      </c>
      <c r="AC67" s="310"/>
      <c r="AD67" s="309"/>
      <c r="AE67" s="407" t="e">
        <f>IF(W42=2,AE75/(AP28*(1-E18)-AP29*charFracC/fuelFracC),IF(AE57&gt;0,(AP20-$N23)/(AE$57/fuelFracC)*1000/1000000,0))</f>
        <v>#DIV/0!</v>
      </c>
      <c r="AF67" s="351" t="s">
        <v>907</v>
      </c>
      <c r="AG67" s="13"/>
      <c r="AH67" s="13"/>
      <c r="AI67" s="271"/>
    </row>
    <row r="68" spans="2:38" ht="15.6" customHeight="1" x14ac:dyDescent="0.15">
      <c r="B68" s="616"/>
      <c r="C68" s="617"/>
      <c r="D68" s="617"/>
      <c r="E68" s="617"/>
      <c r="F68" s="617"/>
      <c r="G68" s="617"/>
      <c r="H68" s="617"/>
      <c r="I68" s="617"/>
      <c r="J68" s="617"/>
      <c r="K68" s="617"/>
      <c r="L68" s="617"/>
      <c r="M68" s="617"/>
      <c r="N68" s="617"/>
      <c r="O68" s="617"/>
      <c r="P68" s="617"/>
      <c r="Q68" s="617"/>
      <c r="R68" s="618"/>
      <c r="T68" s="10"/>
      <c r="U68" s="262" t="s">
        <v>947</v>
      </c>
      <c r="V68" s="13"/>
      <c r="W68" s="2"/>
      <c r="X68" s="22"/>
      <c r="Y68" s="57"/>
      <c r="Z68" s="61"/>
      <c r="AA68" s="312"/>
      <c r="AB68" s="22"/>
      <c r="AC68" s="57"/>
      <c r="AD68" s="13"/>
      <c r="AE68" s="312"/>
      <c r="AF68" s="22"/>
      <c r="AG68" s="13"/>
      <c r="AH68" s="13"/>
      <c r="AI68" s="271"/>
    </row>
    <row r="69" spans="2:38" ht="15.6" customHeight="1" x14ac:dyDescent="0.15">
      <c r="B69" s="616"/>
      <c r="C69" s="617"/>
      <c r="D69" s="617"/>
      <c r="E69" s="617"/>
      <c r="F69" s="617"/>
      <c r="G69" s="617"/>
      <c r="H69" s="617"/>
      <c r="I69" s="617"/>
      <c r="J69" s="617"/>
      <c r="K69" s="617"/>
      <c r="L69" s="617"/>
      <c r="M69" s="617"/>
      <c r="N69" s="617"/>
      <c r="O69" s="617"/>
      <c r="P69" s="617"/>
      <c r="Q69" s="617"/>
      <c r="R69" s="618"/>
      <c r="T69" s="10"/>
      <c r="U69" s="13" t="s">
        <v>812</v>
      </c>
      <c r="V69" s="22" t="s">
        <v>20</v>
      </c>
      <c r="W69" s="93" t="e">
        <f>W65*(W28*(1-$E$18)-W29*charFracC/fuelFracC)/1000</f>
        <v>#DIV/0!</v>
      </c>
      <c r="X69" s="360" t="s">
        <v>914</v>
      </c>
      <c r="Y69" s="361"/>
      <c r="Z69" s="362"/>
      <c r="AA69" s="85" t="e">
        <f>AA65*(AA28*(1-$E$18)-AA29*charFracC/fuelFracC)/1000</f>
        <v>#DIV/0!</v>
      </c>
      <c r="AB69" s="360" t="s">
        <v>915</v>
      </c>
      <c r="AC69" s="361"/>
      <c r="AD69" s="363"/>
      <c r="AE69" s="85" t="e">
        <f>AE65*(AP28*(1-$E$18)-AP29*charFracC/fuelFracC)/1000</f>
        <v>#DIV/0!</v>
      </c>
      <c r="AF69" s="351" t="s">
        <v>916</v>
      </c>
      <c r="AG69" s="13"/>
      <c r="AH69" s="13"/>
      <c r="AI69" s="271"/>
    </row>
    <row r="70" spans="2:38" ht="15.6" customHeight="1" x14ac:dyDescent="0.15">
      <c r="B70" s="613"/>
      <c r="C70" s="614"/>
      <c r="D70" s="614"/>
      <c r="E70" s="614"/>
      <c r="F70" s="614"/>
      <c r="G70" s="614"/>
      <c r="H70" s="614"/>
      <c r="I70" s="614"/>
      <c r="J70" s="614"/>
      <c r="K70" s="614"/>
      <c r="L70" s="614"/>
      <c r="M70" s="614"/>
      <c r="N70" s="614"/>
      <c r="O70" s="614"/>
      <c r="P70" s="614"/>
      <c r="Q70" s="614"/>
      <c r="R70" s="615"/>
      <c r="T70" s="10"/>
      <c r="U70" s="13" t="s">
        <v>810</v>
      </c>
      <c r="V70" s="22" t="s">
        <v>20</v>
      </c>
      <c r="W70" s="401" t="e">
        <f>W66*(W28*(1-$E$18)-W29*charFracC/fuelFracC)/1000</f>
        <v>#DIV/0!</v>
      </c>
      <c r="X70" s="358" t="s">
        <v>911</v>
      </c>
      <c r="Y70" s="337"/>
      <c r="Z70" s="338"/>
      <c r="AA70" s="406" t="e">
        <f>AA66*(AA28*(1-$E$18)-AA29*charFracC/fuelFracC)/1000</f>
        <v>#DIV/0!</v>
      </c>
      <c r="AB70" s="358" t="s">
        <v>912</v>
      </c>
      <c r="AC70" s="337"/>
      <c r="AD70" s="54"/>
      <c r="AE70" s="406" t="e">
        <f>AE66*(AP28*(1-$E$18)-AP29*charFracC/fuelFracC)/1000</f>
        <v>#DIV/0!</v>
      </c>
      <c r="AF70" s="351" t="s">
        <v>913</v>
      </c>
      <c r="AG70" s="13"/>
      <c r="AH70" s="13"/>
      <c r="AI70" s="271"/>
    </row>
    <row r="71" spans="2:38" ht="15.6" customHeight="1" x14ac:dyDescent="0.15">
      <c r="T71" s="10"/>
      <c r="U71" s="13" t="s">
        <v>811</v>
      </c>
      <c r="V71" s="22" t="s">
        <v>20</v>
      </c>
      <c r="W71" s="408" t="e">
        <f>W67*(W28*(1-$E$18)-W29*charFracC/fuelFracC)/1000</f>
        <v>#DIV/0!</v>
      </c>
      <c r="X71" s="359" t="s">
        <v>908</v>
      </c>
      <c r="Y71" s="310"/>
      <c r="Z71" s="311"/>
      <c r="AA71" s="407" t="e">
        <f>AA67*(AA28*(1-$E$18)-AA29*charFracC/fuelFracC)/1000</f>
        <v>#DIV/0!</v>
      </c>
      <c r="AB71" s="359" t="s">
        <v>909</v>
      </c>
      <c r="AC71" s="310"/>
      <c r="AD71" s="309"/>
      <c r="AE71" s="407" t="e">
        <f>AE67*(AP28*(1-$E$18)-AP29*charFracC/fuelFracC)/1000</f>
        <v>#DIV/0!</v>
      </c>
      <c r="AF71" s="351" t="s">
        <v>910</v>
      </c>
      <c r="AG71" s="13"/>
      <c r="AH71" s="13"/>
      <c r="AI71" s="271"/>
    </row>
    <row r="72" spans="2:38" ht="15.6" customHeight="1" x14ac:dyDescent="0.15">
      <c r="T72" s="10"/>
      <c r="U72" s="262" t="s">
        <v>948</v>
      </c>
      <c r="V72" s="13"/>
      <c r="W72" s="312"/>
      <c r="X72" s="22"/>
      <c r="Y72" s="57"/>
      <c r="Z72" s="61"/>
      <c r="AA72" s="2"/>
      <c r="AB72" s="22"/>
      <c r="AC72" s="57"/>
      <c r="AD72" s="13"/>
      <c r="AE72" s="312"/>
      <c r="AF72" s="22"/>
      <c r="AG72" s="13"/>
      <c r="AH72" s="21"/>
    </row>
    <row r="73" spans="2:38" ht="15.6" customHeight="1" x14ac:dyDescent="0.15">
      <c r="T73" s="10"/>
      <c r="U73" s="13" t="s">
        <v>812</v>
      </c>
      <c r="V73" s="22" t="s">
        <v>20</v>
      </c>
      <c r="W73" s="85">
        <f>W55*(AA18-N21)*(44*'General Information'!C22)/(0.008314*(AA21+273.15))/1000000</f>
        <v>0</v>
      </c>
      <c r="X73" s="360" t="s">
        <v>914</v>
      </c>
      <c r="Y73" s="361"/>
      <c r="Z73" s="362"/>
      <c r="AA73" s="93">
        <f>AA55*(AI18-N21)*(44*'General Information'!C22)/(0.008314*(AI21+273.15))/1000000</f>
        <v>0</v>
      </c>
      <c r="AB73" s="360" t="s">
        <v>915</v>
      </c>
      <c r="AC73" s="361"/>
      <c r="AD73" s="363"/>
      <c r="AE73" s="85">
        <f>AE55*(AP18-N21)*(44*'General Information'!C22)/(0.008314*(AP21+273.15))/1000000</f>
        <v>0</v>
      </c>
      <c r="AF73" s="351" t="s">
        <v>916</v>
      </c>
      <c r="AG73" s="13"/>
      <c r="AH73" s="21"/>
    </row>
    <row r="74" spans="2:38" ht="15.6" customHeight="1" x14ac:dyDescent="0.15">
      <c r="T74" s="10"/>
      <c r="U74" s="13" t="s">
        <v>810</v>
      </c>
      <c r="V74" s="22" t="s">
        <v>20</v>
      </c>
      <c r="W74" s="406">
        <f>W55*(AA19-N22)*(28*'General Information'!C22)/(0.008314*(AA21+273.15))/1000000</f>
        <v>0</v>
      </c>
      <c r="X74" s="358" t="s">
        <v>911</v>
      </c>
      <c r="Y74" s="337"/>
      <c r="Z74" s="338"/>
      <c r="AA74" s="401">
        <f>AA55*(AI19-N22)*(28*'General Information'!C22)/(0.008314*(AI21+273.15))/1000000</f>
        <v>0</v>
      </c>
      <c r="AB74" s="358" t="s">
        <v>912</v>
      </c>
      <c r="AC74" s="337"/>
      <c r="AD74" s="54"/>
      <c r="AE74" s="406">
        <f>AE55*(AP19-N22)*(28*'General Information'!C22)/(0.008314*(AP21+273.15))/1000000</f>
        <v>0</v>
      </c>
      <c r="AF74" s="351" t="s">
        <v>913</v>
      </c>
      <c r="AG74" s="13"/>
      <c r="AH74" s="21"/>
    </row>
    <row r="75" spans="2:38" ht="15.6" customHeight="1" thickBot="1" x14ac:dyDescent="0.2">
      <c r="T75" s="10"/>
      <c r="U75" s="13" t="s">
        <v>811</v>
      </c>
      <c r="V75" s="22" t="s">
        <v>20</v>
      </c>
      <c r="W75" s="407">
        <f>W55*(AA20-N23)/1000000</f>
        <v>0</v>
      </c>
      <c r="X75" s="359" t="s">
        <v>908</v>
      </c>
      <c r="Y75" s="310"/>
      <c r="Z75" s="311"/>
      <c r="AA75" s="408">
        <f>AA55*(AI20-N23)/1000000</f>
        <v>0</v>
      </c>
      <c r="AB75" s="359" t="s">
        <v>909</v>
      </c>
      <c r="AC75" s="310"/>
      <c r="AD75" s="309"/>
      <c r="AE75" s="407">
        <f>AE55*(AP20-N23)/1000000</f>
        <v>0</v>
      </c>
      <c r="AF75" s="351" t="s">
        <v>910</v>
      </c>
      <c r="AG75" s="13"/>
      <c r="AH75" s="21"/>
    </row>
    <row r="76" spans="2:38" ht="15.6" customHeight="1" thickTop="1" x14ac:dyDescent="0.15">
      <c r="T76" s="258"/>
      <c r="U76" s="259" t="s">
        <v>818</v>
      </c>
      <c r="V76" s="259"/>
      <c r="W76" s="313"/>
      <c r="X76" s="352"/>
      <c r="Y76" s="259"/>
      <c r="Z76" s="259"/>
      <c r="AA76" s="259"/>
      <c r="AB76" s="259"/>
      <c r="AC76" s="259"/>
      <c r="AD76" s="259"/>
      <c r="AE76" s="259"/>
      <c r="AF76" s="259"/>
      <c r="AG76" s="259"/>
      <c r="AH76" s="297"/>
    </row>
    <row r="77" spans="2:38" ht="15" customHeight="1" x14ac:dyDescent="0.15">
      <c r="T77" s="10"/>
      <c r="U77" s="13" t="s">
        <v>819</v>
      </c>
      <c r="V77" s="13" t="s">
        <v>20</v>
      </c>
      <c r="W77" s="406" t="e">
        <f>(IF(ISERROR(AA$38),W62,AVERAGE(W62,AA62))+AE62)*5</f>
        <v>#DIV/0!</v>
      </c>
      <c r="X77" s="22" t="s">
        <v>917</v>
      </c>
      <c r="Y77" s="13"/>
      <c r="Z77" s="13"/>
      <c r="AA77" s="13"/>
      <c r="AB77" s="13"/>
      <c r="AC77" s="13"/>
      <c r="AD77" s="13"/>
      <c r="AE77" s="13"/>
      <c r="AF77" s="13"/>
      <c r="AG77" s="13"/>
      <c r="AH77" s="21"/>
    </row>
    <row r="78" spans="2:38" ht="15" customHeight="1" thickBot="1" x14ac:dyDescent="0.2">
      <c r="T78" s="113"/>
      <c r="U78" s="114" t="s">
        <v>820</v>
      </c>
      <c r="V78" s="114" t="s">
        <v>20</v>
      </c>
      <c r="W78" s="409" t="e">
        <f>(IF(ISERROR(AA$38),W63,AVERAGE(W63,AA63))+AE63)*5</f>
        <v>#DIV/0!</v>
      </c>
      <c r="X78" s="115" t="s">
        <v>918</v>
      </c>
      <c r="Y78" s="114"/>
      <c r="Z78" s="114"/>
      <c r="AA78" s="114"/>
      <c r="AB78" s="114"/>
      <c r="AC78" s="114"/>
      <c r="AD78" s="114"/>
      <c r="AE78" s="114"/>
      <c r="AF78" s="114"/>
      <c r="AG78" s="114"/>
      <c r="AH78" s="298"/>
    </row>
    <row r="79" spans="2:38" ht="15" customHeight="1" thickTop="1" x14ac:dyDescent="0.15"/>
  </sheetData>
  <mergeCells count="82">
    <mergeCell ref="A2:S2"/>
    <mergeCell ref="W2:AB2"/>
    <mergeCell ref="AE2:AJ2"/>
    <mergeCell ref="AL2:AQ2"/>
    <mergeCell ref="W3:X3"/>
    <mergeCell ref="AA3:AB3"/>
    <mergeCell ref="AE3:AF3"/>
    <mergeCell ref="AI3:AJ3"/>
    <mergeCell ref="AL3:AM3"/>
    <mergeCell ref="D10:K10"/>
    <mergeCell ref="AP3:AQ3"/>
    <mergeCell ref="AA4:AB4"/>
    <mergeCell ref="AI4:AJ4"/>
    <mergeCell ref="AL4:AM4"/>
    <mergeCell ref="AP4:AQ4"/>
    <mergeCell ref="D6:K6"/>
    <mergeCell ref="M6:P6"/>
    <mergeCell ref="D7:K7"/>
    <mergeCell ref="M7:P7"/>
    <mergeCell ref="D8:K8"/>
    <mergeCell ref="M8:P8"/>
    <mergeCell ref="D9:K9"/>
    <mergeCell ref="D11:K11"/>
    <mergeCell ref="B14:D14"/>
    <mergeCell ref="B15:D15"/>
    <mergeCell ref="K15:M15"/>
    <mergeCell ref="B16:D16"/>
    <mergeCell ref="K16:M16"/>
    <mergeCell ref="B23:D23"/>
    <mergeCell ref="W16:X16"/>
    <mergeCell ref="AE16:AF16"/>
    <mergeCell ref="AL16:AM16"/>
    <mergeCell ref="E17:G17"/>
    <mergeCell ref="K17:M17"/>
    <mergeCell ref="B18:D18"/>
    <mergeCell ref="K18:M18"/>
    <mergeCell ref="B19:D19"/>
    <mergeCell ref="K19:M19"/>
    <mergeCell ref="B20:D20"/>
    <mergeCell ref="K20:M20"/>
    <mergeCell ref="B21:D21"/>
    <mergeCell ref="B42:R42"/>
    <mergeCell ref="B33:R33"/>
    <mergeCell ref="B41:R41"/>
    <mergeCell ref="E25:R25"/>
    <mergeCell ref="B26:R26"/>
    <mergeCell ref="B27:R27"/>
    <mergeCell ref="B29:R29"/>
    <mergeCell ref="B30:R30"/>
    <mergeCell ref="B31:R31"/>
    <mergeCell ref="B28:R28"/>
    <mergeCell ref="B32:R32"/>
    <mergeCell ref="B34:R34"/>
    <mergeCell ref="B35:R35"/>
    <mergeCell ref="B39:R39"/>
    <mergeCell ref="B40:R40"/>
    <mergeCell ref="B58:R58"/>
    <mergeCell ref="B52:R52"/>
    <mergeCell ref="B57:R57"/>
    <mergeCell ref="B43:R43"/>
    <mergeCell ref="B44:R44"/>
    <mergeCell ref="B45:R45"/>
    <mergeCell ref="B47:R47"/>
    <mergeCell ref="B48:R48"/>
    <mergeCell ref="B50:R50"/>
    <mergeCell ref="B46:R46"/>
    <mergeCell ref="B51:R51"/>
    <mergeCell ref="B53:R53"/>
    <mergeCell ref="B54:R54"/>
    <mergeCell ref="B55:R55"/>
    <mergeCell ref="B56:R56"/>
    <mergeCell ref="B67:R67"/>
    <mergeCell ref="B69:R69"/>
    <mergeCell ref="B70:R70"/>
    <mergeCell ref="B59:R59"/>
    <mergeCell ref="B61:R61"/>
    <mergeCell ref="B62:R62"/>
    <mergeCell ref="B64:R64"/>
    <mergeCell ref="B65:R65"/>
    <mergeCell ref="B66:R66"/>
    <mergeCell ref="B63:R63"/>
    <mergeCell ref="B68:R68"/>
  </mergeCells>
  <conditionalFormatting sqref="W28:W40 AA28:AA40 AP28:AP41 AE44:AF51 W55:W75 AA55:AA75 AE55:AE75 W77:W78">
    <cfRule type="containsErrors" dxfId="10" priority="1" stopIfTrue="1">
      <formula>ISERROR(W28)</formula>
    </cfRule>
  </conditionalFormatting>
  <pageMargins left="0.74791666666666667" right="0.74791666666666667" top="0.75" bottom="0.75" header="0.51180555555555551" footer="0.5"/>
  <pageSetup scale="90" firstPageNumber="0" orientation="landscape" horizontalDpi="300" verticalDpi="300" r:id="rId1"/>
  <headerFooter alignWithMargins="0">
    <oddFooter>&amp;L&amp;F&amp;C&amp;A&amp;RPage &amp;P</oddFooter>
  </headerFooter>
  <rowBreaks count="1" manualBreakCount="1">
    <brk id="37" max="16383" man="1"/>
  </rowBreaks>
  <colBreaks count="2" manualBreakCount="2">
    <brk id="19" max="1048575" man="1"/>
    <brk id="52" max="1048575" man="1"/>
  </colBreaks>
  <ignoredErrors>
    <ignoredError sqref="D9:K9 E19 E22:E23 N20 D10:K11"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6385" r:id="rId4" name="ComboBox">
              <controlPr defaultSize="0" autoFill="0" autoLine="0" autoPict="0">
                <anchor moveWithCells="1" sizeWithCells="1">
                  <from>
                    <xdr:col>3</xdr:col>
                    <xdr:colOff>838200</xdr:colOff>
                    <xdr:row>15</xdr:row>
                    <xdr:rowOff>28575</xdr:rowOff>
                  </from>
                  <to>
                    <xdr:col>7</xdr:col>
                    <xdr:colOff>123825</xdr:colOff>
                    <xdr:row>16</xdr:row>
                    <xdr:rowOff>28575</xdr:rowOff>
                  </to>
                </anchor>
              </controlPr>
            </control>
          </mc:Choice>
        </mc:AlternateContent>
        <mc:AlternateContent xmlns:mc="http://schemas.openxmlformats.org/markup-compatibility/2006">
          <mc:Choice Requires="x14">
            <control shapeId="16386" r:id="rId5" name="Drop Down 2">
              <controlPr defaultSize="0" autoLine="0" autoPict="0">
                <anchor moveWithCells="1">
                  <from>
                    <xdr:col>21</xdr:col>
                    <xdr:colOff>0</xdr:colOff>
                    <xdr:row>41</xdr:row>
                    <xdr:rowOff>9525</xdr:rowOff>
                  </from>
                  <to>
                    <xdr:col>22</xdr:col>
                    <xdr:colOff>619125</xdr:colOff>
                    <xdr:row>42</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DU79"/>
  <sheetViews>
    <sheetView showGridLines="0" showZeros="0" zoomScaleNormal="100" zoomScaleSheetLayoutView="100" workbookViewId="0">
      <selection activeCell="D6" sqref="D6:K6"/>
    </sheetView>
  </sheetViews>
  <sheetFormatPr defaultColWidth="15.640625" defaultRowHeight="27.95" customHeight="1" x14ac:dyDescent="0.15"/>
  <cols>
    <col min="1" max="1" width="1.75" style="1" customWidth="1"/>
    <col min="2" max="2" width="14.5625" style="1" customWidth="1"/>
    <col min="3" max="3" width="6.60546875" style="2" customWidth="1"/>
    <col min="4" max="4" width="12.67578125" style="1" customWidth="1"/>
    <col min="5" max="5" width="8.08984375" style="1" customWidth="1"/>
    <col min="6" max="6" width="2.01953125" style="1" customWidth="1"/>
    <col min="7" max="7" width="5.93359375" style="1" customWidth="1"/>
    <col min="8" max="8" width="2.01953125" style="2" customWidth="1"/>
    <col min="9" max="9" width="7.28125" style="2" customWidth="1"/>
    <col min="10" max="10" width="1.75" style="2" customWidth="1"/>
    <col min="11" max="11" width="14.42578125" style="2" customWidth="1"/>
    <col min="12" max="12" width="5.66015625" style="2" customWidth="1"/>
    <col min="13" max="13" width="14.5625" style="2" customWidth="1"/>
    <col min="14" max="14" width="7.68359375" style="2" customWidth="1"/>
    <col min="15" max="15" width="2.01953125" style="2" customWidth="1"/>
    <col min="16" max="16" width="6.60546875" style="2" customWidth="1"/>
    <col min="17" max="17" width="2.01953125" style="2" customWidth="1"/>
    <col min="18" max="18" width="7.28125" style="2" customWidth="1"/>
    <col min="19" max="19" width="1.75" style="1" customWidth="1"/>
    <col min="20" max="20" width="1.75" style="3" customWidth="1"/>
    <col min="21" max="21" width="25.484375" style="3" customWidth="1"/>
    <col min="22" max="22" width="13.88671875" style="3" bestFit="1" customWidth="1"/>
    <col min="23" max="23" width="12" style="3" customWidth="1"/>
    <col min="24" max="24" width="5.390625" style="3" customWidth="1"/>
    <col min="25" max="25" width="0.5390625" style="3" customWidth="1"/>
    <col min="26" max="26" width="0.80859375" style="3" customWidth="1"/>
    <col min="27" max="27" width="8.76171875" style="3" customWidth="1"/>
    <col min="28" max="28" width="6.7421875" style="3" customWidth="1"/>
    <col min="29" max="30" width="0.80859375" style="3" customWidth="1"/>
    <col min="31" max="31" width="8.08984375" style="3" customWidth="1"/>
    <col min="32" max="32" width="5.796875" style="3" customWidth="1"/>
    <col min="33" max="33" width="0.80859375" style="3" customWidth="1"/>
    <col min="34" max="34" width="0.671875" style="3" customWidth="1"/>
    <col min="35" max="35" width="8.08984375" style="3" customWidth="1"/>
    <col min="36" max="36" width="5.12109375" style="3" customWidth="1"/>
    <col min="37" max="37" width="0.80859375" style="3" customWidth="1"/>
    <col min="38" max="38" width="8.62890625" style="3" customWidth="1"/>
    <col min="39" max="39" width="7.28125" style="3" customWidth="1"/>
    <col min="40" max="41" width="0.94140625" style="3" customWidth="1"/>
    <col min="42" max="42" width="8.08984375" style="3" customWidth="1"/>
    <col min="43" max="43" width="6.203125" style="3" customWidth="1"/>
    <col min="44" max="44" width="1.75" style="3" customWidth="1"/>
    <col min="45" max="45" width="8.359375" customWidth="1"/>
    <col min="46" max="46" width="5.796875" customWidth="1"/>
    <col min="47" max="47" width="6.47265625" customWidth="1"/>
    <col min="48" max="48" width="5.390625" customWidth="1"/>
    <col min="49" max="49" width="6.7421875" customWidth="1"/>
    <col min="50" max="50" width="7.4140625" customWidth="1"/>
    <col min="51" max="51" width="20.90234375" customWidth="1"/>
    <col min="52" max="53" width="1.75" customWidth="1"/>
    <col min="54" max="54" width="33.7109375" customWidth="1"/>
    <col min="55" max="55" width="5.796875" customWidth="1"/>
    <col min="56" max="56" width="6.47265625" customWidth="1"/>
    <col min="57" max="57" width="5.390625" customWidth="1"/>
    <col min="58" max="58" width="6.7421875" customWidth="1"/>
    <col min="59" max="59" width="7.4140625" customWidth="1"/>
    <col min="60" max="60" width="20.90234375" customWidth="1"/>
    <col min="61" max="61" width="0" hidden="1" customWidth="1"/>
    <col min="62" max="70" width="9.03515625" customWidth="1"/>
    <col min="71" max="122" width="8.8984375" customWidth="1"/>
    <col min="123" max="16384" width="15.640625" style="1"/>
  </cols>
  <sheetData>
    <row r="1" spans="1:125" ht="6" customHeight="1" thickTop="1" thickBot="1" x14ac:dyDescent="0.2">
      <c r="A1" s="4"/>
      <c r="B1" s="5"/>
      <c r="C1" s="5"/>
      <c r="D1" s="5"/>
      <c r="E1" s="5"/>
      <c r="F1" s="5"/>
      <c r="G1" s="5"/>
      <c r="H1" s="5"/>
      <c r="I1" s="5"/>
      <c r="J1" s="5"/>
      <c r="K1" s="5"/>
      <c r="L1" s="5"/>
      <c r="M1" s="5"/>
      <c r="N1" s="5"/>
      <c r="O1" s="5"/>
      <c r="P1" s="5"/>
      <c r="Q1" s="5"/>
      <c r="R1" s="5"/>
      <c r="S1" s="6"/>
      <c r="T1" s="7"/>
      <c r="U1" s="8"/>
      <c r="V1" s="8"/>
      <c r="W1" s="8"/>
      <c r="X1" s="8"/>
      <c r="Y1" s="8"/>
      <c r="Z1" s="8"/>
      <c r="AA1" s="8"/>
      <c r="AB1" s="8"/>
      <c r="AC1" s="8"/>
      <c r="AD1" s="8"/>
      <c r="AE1" s="8"/>
      <c r="AF1" s="8"/>
      <c r="AG1" s="8"/>
      <c r="AH1" s="8"/>
      <c r="AI1" s="8"/>
      <c r="AJ1" s="8"/>
      <c r="AK1" s="8"/>
      <c r="AL1" s="8"/>
      <c r="AM1" s="8"/>
      <c r="AN1" s="8"/>
      <c r="AO1" s="8"/>
      <c r="AP1" s="8"/>
      <c r="AQ1" s="8"/>
      <c r="AR1" s="9"/>
      <c r="AS1" s="25"/>
      <c r="AT1" s="2"/>
      <c r="DS1"/>
      <c r="DT1"/>
      <c r="DU1"/>
    </row>
    <row r="2" spans="1:125" ht="13.5" customHeight="1" thickBot="1" x14ac:dyDescent="0.2">
      <c r="A2" s="637" t="str">
        <f>"WATER BOILING TEST - VERSION "&amp;version&amp;" - TEST #5"</f>
        <v>WATER BOILING TEST - VERSION 4.2.3 - TEST #5</v>
      </c>
      <c r="B2" s="637"/>
      <c r="C2" s="637"/>
      <c r="D2" s="637"/>
      <c r="E2" s="637"/>
      <c r="F2" s="637"/>
      <c r="G2" s="637"/>
      <c r="H2" s="637"/>
      <c r="I2" s="637"/>
      <c r="J2" s="637"/>
      <c r="K2" s="637"/>
      <c r="L2" s="637"/>
      <c r="M2" s="637"/>
      <c r="N2" s="637"/>
      <c r="O2" s="637"/>
      <c r="P2" s="637"/>
      <c r="Q2" s="637"/>
      <c r="R2" s="637"/>
      <c r="S2" s="637"/>
      <c r="T2" s="10"/>
      <c r="U2" s="255" t="str">
        <f>"TEST #5 "&amp;D7</f>
        <v xml:space="preserve">TEST #5 </v>
      </c>
      <c r="V2" s="11"/>
      <c r="W2" s="638" t="s">
        <v>0</v>
      </c>
      <c r="X2" s="638"/>
      <c r="Y2" s="638"/>
      <c r="Z2" s="638"/>
      <c r="AA2" s="638"/>
      <c r="AB2" s="638"/>
      <c r="AC2" s="256"/>
      <c r="AD2" s="12"/>
      <c r="AE2" s="638" t="s">
        <v>1</v>
      </c>
      <c r="AF2" s="638"/>
      <c r="AG2" s="638"/>
      <c r="AH2" s="638"/>
      <c r="AI2" s="638"/>
      <c r="AJ2" s="638"/>
      <c r="AK2" s="13"/>
      <c r="AL2" s="638" t="s">
        <v>2</v>
      </c>
      <c r="AM2" s="638"/>
      <c r="AN2" s="638"/>
      <c r="AO2" s="638"/>
      <c r="AP2" s="638"/>
      <c r="AQ2" s="638"/>
      <c r="AR2" s="14"/>
    </row>
    <row r="3" spans="1:125" ht="12.75" customHeight="1" x14ac:dyDescent="0.15">
      <c r="A3" s="16"/>
      <c r="B3" s="17" t="s">
        <v>748</v>
      </c>
      <c r="C3" s="17"/>
      <c r="D3" s="17"/>
      <c r="E3" s="17"/>
      <c r="F3" s="17"/>
      <c r="G3" s="17"/>
      <c r="H3" s="17"/>
      <c r="I3" s="17"/>
      <c r="J3" s="17"/>
      <c r="K3" s="17"/>
      <c r="L3" s="17"/>
      <c r="M3" s="17"/>
      <c r="N3" s="17"/>
      <c r="O3" s="17"/>
      <c r="P3" s="17"/>
      <c r="Q3" s="17"/>
      <c r="R3" s="17"/>
      <c r="S3" s="18"/>
      <c r="T3" s="19"/>
      <c r="U3" s="20"/>
      <c r="V3" s="21"/>
      <c r="W3" s="641" t="s">
        <v>3</v>
      </c>
      <c r="X3" s="641"/>
      <c r="Y3" s="23"/>
      <c r="Z3" s="13"/>
      <c r="AA3" s="642" t="s">
        <v>4</v>
      </c>
      <c r="AB3" s="642"/>
      <c r="AC3" s="24"/>
      <c r="AD3" s="12"/>
      <c r="AE3" s="643" t="s">
        <v>3</v>
      </c>
      <c r="AF3" s="643"/>
      <c r="AG3" s="23"/>
      <c r="AH3" s="13"/>
      <c r="AI3" s="642" t="s">
        <v>4</v>
      </c>
      <c r="AJ3" s="642"/>
      <c r="AK3" s="12"/>
      <c r="AL3" s="639" t="s">
        <v>3</v>
      </c>
      <c r="AM3" s="639"/>
      <c r="AN3" s="23"/>
      <c r="AO3" s="13"/>
      <c r="AP3" s="640" t="s">
        <v>5</v>
      </c>
      <c r="AQ3" s="640"/>
      <c r="AR3" s="14"/>
    </row>
    <row r="4" spans="1:125" ht="12.75" customHeight="1" x14ac:dyDescent="0.15">
      <c r="A4" s="25"/>
      <c r="B4" s="26" t="s">
        <v>749</v>
      </c>
      <c r="C4" s="26"/>
      <c r="D4" s="26"/>
      <c r="E4" s="26"/>
      <c r="F4" s="26"/>
      <c r="G4" s="26"/>
      <c r="H4" s="26"/>
      <c r="I4" s="26"/>
      <c r="J4" s="27"/>
      <c r="K4" s="27"/>
      <c r="L4" s="27"/>
      <c r="M4" s="27"/>
      <c r="N4" s="27"/>
      <c r="O4" s="27"/>
      <c r="P4" s="27"/>
      <c r="Q4" s="27"/>
      <c r="R4" s="27"/>
      <c r="S4" s="15"/>
      <c r="T4" s="28"/>
      <c r="U4" s="29"/>
      <c r="V4" s="30"/>
      <c r="W4" s="31"/>
      <c r="X4" s="31"/>
      <c r="Y4" s="32"/>
      <c r="Z4" s="33"/>
      <c r="AA4" s="631" t="s">
        <v>6</v>
      </c>
      <c r="AB4" s="631"/>
      <c r="AC4" s="24"/>
      <c r="AD4" s="12"/>
      <c r="AE4" s="31"/>
      <c r="AF4" s="31"/>
      <c r="AG4" s="32"/>
      <c r="AH4" s="33"/>
      <c r="AI4" s="631" t="s">
        <v>6</v>
      </c>
      <c r="AJ4" s="631"/>
      <c r="AK4" s="12"/>
      <c r="AL4" s="633"/>
      <c r="AM4" s="633"/>
      <c r="AN4" s="34"/>
      <c r="AO4" s="31"/>
      <c r="AP4" s="644"/>
      <c r="AQ4" s="644"/>
      <c r="AR4" s="14"/>
    </row>
    <row r="5" spans="1:125" ht="13.5" customHeight="1" thickBot="1" x14ac:dyDescent="0.2">
      <c r="A5" s="25"/>
      <c r="B5" s="35" t="s">
        <v>7</v>
      </c>
      <c r="D5" s="2"/>
      <c r="E5" s="2"/>
      <c r="F5" s="2"/>
      <c r="G5" s="2"/>
      <c r="S5" s="15"/>
      <c r="T5" s="28"/>
      <c r="U5" s="36" t="s">
        <v>8</v>
      </c>
      <c r="V5" s="37" t="s">
        <v>9</v>
      </c>
      <c r="W5" s="38" t="s">
        <v>10</v>
      </c>
      <c r="X5" s="38" t="s">
        <v>11</v>
      </c>
      <c r="Y5" s="39"/>
      <c r="Z5" s="38"/>
      <c r="AA5" s="38" t="s">
        <v>10</v>
      </c>
      <c r="AB5" s="37" t="s">
        <v>11</v>
      </c>
      <c r="AC5" s="24"/>
      <c r="AD5" s="12"/>
      <c r="AE5" s="38" t="s">
        <v>10</v>
      </c>
      <c r="AF5" s="38" t="s">
        <v>11</v>
      </c>
      <c r="AG5" s="40"/>
      <c r="AH5" s="41"/>
      <c r="AI5" s="38" t="s">
        <v>10</v>
      </c>
      <c r="AJ5" s="37" t="s">
        <v>11</v>
      </c>
      <c r="AK5" s="12"/>
      <c r="AL5" s="38" t="s">
        <v>10</v>
      </c>
      <c r="AM5" s="38" t="s">
        <v>11</v>
      </c>
      <c r="AN5" s="40"/>
      <c r="AO5" s="41"/>
      <c r="AP5" s="38" t="s">
        <v>10</v>
      </c>
      <c r="AQ5" s="37" t="s">
        <v>11</v>
      </c>
      <c r="AR5" s="14"/>
    </row>
    <row r="6" spans="1:125" ht="15.75" customHeight="1" x14ac:dyDescent="0.2">
      <c r="A6" s="25"/>
      <c r="B6" s="2" t="s">
        <v>12</v>
      </c>
      <c r="D6" s="629"/>
      <c r="E6" s="629"/>
      <c r="F6" s="629"/>
      <c r="G6" s="629"/>
      <c r="H6" s="629"/>
      <c r="I6" s="629"/>
      <c r="J6" s="629"/>
      <c r="K6" s="629"/>
      <c r="M6" s="635" t="s">
        <v>834</v>
      </c>
      <c r="N6" s="635"/>
      <c r="O6" s="635"/>
      <c r="P6" s="635"/>
      <c r="Q6" s="265"/>
      <c r="R6" s="265"/>
      <c r="S6" s="15"/>
      <c r="T6" s="28"/>
      <c r="U6" s="30" t="s">
        <v>716</v>
      </c>
      <c r="V6" s="24" t="s">
        <v>13</v>
      </c>
      <c r="W6" s="42"/>
      <c r="X6" s="43" t="s">
        <v>14</v>
      </c>
      <c r="Y6" s="44"/>
      <c r="Z6" s="43"/>
      <c r="AA6" s="42"/>
      <c r="AB6" s="45" t="s">
        <v>15</v>
      </c>
      <c r="AC6" s="45"/>
      <c r="AD6" s="12"/>
      <c r="AE6" s="42"/>
      <c r="AF6" s="43" t="s">
        <v>16</v>
      </c>
      <c r="AG6" s="46"/>
      <c r="AH6" s="13"/>
      <c r="AI6" s="42"/>
      <c r="AJ6" s="45" t="s">
        <v>17</v>
      </c>
      <c r="AK6" s="12"/>
      <c r="AL6" s="42"/>
      <c r="AM6" s="43" t="s">
        <v>18</v>
      </c>
      <c r="AN6" s="46"/>
      <c r="AO6" s="13"/>
      <c r="AP6" s="42"/>
      <c r="AQ6" s="45" t="s">
        <v>19</v>
      </c>
      <c r="AR6" s="14"/>
    </row>
    <row r="7" spans="1:125" ht="15.75" customHeight="1" x14ac:dyDescent="0.2">
      <c r="A7" s="25"/>
      <c r="B7" s="2" t="s">
        <v>27</v>
      </c>
      <c r="D7" s="629"/>
      <c r="E7" s="629"/>
      <c r="F7" s="629"/>
      <c r="G7" s="629"/>
      <c r="H7" s="629"/>
      <c r="I7" s="629"/>
      <c r="J7" s="629"/>
      <c r="K7" s="629"/>
      <c r="M7" s="663" t="s">
        <v>969</v>
      </c>
      <c r="N7" s="663"/>
      <c r="O7" s="663"/>
      <c r="P7" s="663"/>
      <c r="Q7" s="265"/>
      <c r="R7" s="265"/>
      <c r="S7" s="15"/>
      <c r="T7" s="28"/>
      <c r="U7" s="30" t="s">
        <v>873</v>
      </c>
      <c r="V7" s="24" t="s">
        <v>20</v>
      </c>
      <c r="W7" s="47"/>
      <c r="X7" s="43" t="s">
        <v>21</v>
      </c>
      <c r="Y7" s="44"/>
      <c r="Z7" s="43"/>
      <c r="AA7" s="47"/>
      <c r="AB7" s="45" t="s">
        <v>22</v>
      </c>
      <c r="AC7" s="45"/>
      <c r="AD7" s="12"/>
      <c r="AE7" s="47"/>
      <c r="AF7" s="43" t="s">
        <v>23</v>
      </c>
      <c r="AG7" s="46"/>
      <c r="AH7" s="13"/>
      <c r="AI7" s="47"/>
      <c r="AJ7" s="45" t="s">
        <v>24</v>
      </c>
      <c r="AK7" s="12"/>
      <c r="AL7" s="47"/>
      <c r="AM7" s="43" t="s">
        <v>25</v>
      </c>
      <c r="AN7" s="46"/>
      <c r="AO7" s="13"/>
      <c r="AP7" s="47"/>
      <c r="AQ7" s="45" t="s">
        <v>26</v>
      </c>
      <c r="AR7" s="14"/>
    </row>
    <row r="8" spans="1:125" ht="15.75" customHeight="1" x14ac:dyDescent="0.2">
      <c r="A8" s="25"/>
      <c r="B8" s="2" t="s">
        <v>36</v>
      </c>
      <c r="D8" s="628"/>
      <c r="E8" s="629"/>
      <c r="F8" s="629"/>
      <c r="G8" s="629"/>
      <c r="H8" s="629"/>
      <c r="I8" s="629"/>
      <c r="J8" s="629"/>
      <c r="K8" s="629"/>
      <c r="M8" s="656" t="s">
        <v>953</v>
      </c>
      <c r="N8" s="656"/>
      <c r="O8" s="656"/>
      <c r="P8" s="656"/>
      <c r="Q8" s="265"/>
      <c r="R8" s="265"/>
      <c r="S8" s="15"/>
      <c r="T8" s="28"/>
      <c r="U8" s="30" t="s">
        <v>28</v>
      </c>
      <c r="V8" s="24" t="s">
        <v>29</v>
      </c>
      <c r="W8" s="48"/>
      <c r="X8" s="49" t="s">
        <v>30</v>
      </c>
      <c r="Y8" s="50"/>
      <c r="Z8" s="49"/>
      <c r="AA8" s="48"/>
      <c r="AB8" s="51" t="s">
        <v>31</v>
      </c>
      <c r="AC8" s="51"/>
      <c r="AD8" s="52"/>
      <c r="AE8" s="48"/>
      <c r="AF8" s="49" t="s">
        <v>32</v>
      </c>
      <c r="AG8" s="53"/>
      <c r="AH8" s="54"/>
      <c r="AI8" s="48"/>
      <c r="AJ8" s="45" t="s">
        <v>33</v>
      </c>
      <c r="AK8" s="12"/>
      <c r="AL8" s="48"/>
      <c r="AM8" s="43" t="s">
        <v>34</v>
      </c>
      <c r="AN8" s="46"/>
      <c r="AO8" s="13"/>
      <c r="AP8" s="48"/>
      <c r="AQ8" s="45" t="s">
        <v>35</v>
      </c>
      <c r="AR8" s="14"/>
    </row>
    <row r="9" spans="1:125" ht="15.75" customHeight="1" x14ac:dyDescent="0.2">
      <c r="A9" s="25"/>
      <c r="B9" s="2" t="s">
        <v>50</v>
      </c>
      <c r="D9" s="630">
        <f>'General Information'!C7</f>
        <v>0</v>
      </c>
      <c r="E9" s="630"/>
      <c r="F9" s="630"/>
      <c r="G9" s="630"/>
      <c r="H9" s="630"/>
      <c r="I9" s="630"/>
      <c r="J9" s="630"/>
      <c r="K9" s="630"/>
      <c r="M9" s="265"/>
      <c r="N9" s="265"/>
      <c r="O9" s="265"/>
      <c r="P9" s="265"/>
      <c r="Q9" s="265"/>
      <c r="R9" s="265"/>
      <c r="S9" s="15"/>
      <c r="T9" s="28"/>
      <c r="U9" s="55" t="s">
        <v>37</v>
      </c>
      <c r="V9" s="24" t="s">
        <v>29</v>
      </c>
      <c r="W9" s="48"/>
      <c r="X9" s="49" t="s">
        <v>185</v>
      </c>
      <c r="Y9" s="50"/>
      <c r="Z9" s="49"/>
      <c r="AA9" s="48"/>
      <c r="AB9" s="51" t="s">
        <v>38</v>
      </c>
      <c r="AC9" s="51"/>
      <c r="AD9" s="52"/>
      <c r="AE9" s="48"/>
      <c r="AF9" s="49" t="s">
        <v>39</v>
      </c>
      <c r="AG9" s="53"/>
      <c r="AH9" s="54"/>
      <c r="AI9" s="48"/>
      <c r="AJ9" s="45" t="s">
        <v>40</v>
      </c>
      <c r="AK9" s="12"/>
      <c r="AL9" s="48"/>
      <c r="AM9" s="56" t="s">
        <v>41</v>
      </c>
      <c r="AN9" s="57"/>
      <c r="AO9" s="58"/>
      <c r="AP9" s="48"/>
      <c r="AQ9" s="59" t="s">
        <v>42</v>
      </c>
      <c r="AR9" s="14"/>
    </row>
    <row r="10" spans="1:125" ht="15.75" customHeight="1" x14ac:dyDescent="0.2">
      <c r="A10" s="25"/>
      <c r="B10" s="2" t="s">
        <v>43</v>
      </c>
      <c r="D10" s="632">
        <f>'General Information'!C10</f>
        <v>0</v>
      </c>
      <c r="E10" s="632"/>
      <c r="F10" s="632"/>
      <c r="G10" s="632"/>
      <c r="H10" s="632"/>
      <c r="I10" s="632"/>
      <c r="J10" s="632"/>
      <c r="K10" s="632"/>
      <c r="S10" s="15"/>
      <c r="T10" s="28"/>
      <c r="U10" s="55" t="s">
        <v>44</v>
      </c>
      <c r="V10" s="24" t="s">
        <v>29</v>
      </c>
      <c r="W10" s="48"/>
      <c r="X10" s="49" t="s">
        <v>186</v>
      </c>
      <c r="Y10" s="50"/>
      <c r="Z10" s="49"/>
      <c r="AA10" s="48"/>
      <c r="AB10" s="51" t="s">
        <v>45</v>
      </c>
      <c r="AC10" s="51"/>
      <c r="AD10" s="52"/>
      <c r="AE10" s="48"/>
      <c r="AF10" s="49" t="s">
        <v>46</v>
      </c>
      <c r="AG10" s="53"/>
      <c r="AH10" s="54"/>
      <c r="AI10" s="48"/>
      <c r="AJ10" s="45" t="s">
        <v>47</v>
      </c>
      <c r="AK10" s="12"/>
      <c r="AL10" s="48"/>
      <c r="AM10" s="56" t="s">
        <v>48</v>
      </c>
      <c r="AN10" s="57"/>
      <c r="AO10" s="58"/>
      <c r="AP10" s="48"/>
      <c r="AQ10" s="59" t="s">
        <v>49</v>
      </c>
      <c r="AR10" s="14"/>
    </row>
    <row r="11" spans="1:125" ht="15.75" customHeight="1" x14ac:dyDescent="0.2">
      <c r="A11" s="25"/>
      <c r="B11" s="2" t="s">
        <v>58</v>
      </c>
      <c r="D11" s="645">
        <f>'General Information'!J3</f>
        <v>0</v>
      </c>
      <c r="E11" s="645"/>
      <c r="F11" s="645"/>
      <c r="G11" s="645"/>
      <c r="H11" s="645"/>
      <c r="I11" s="645"/>
      <c r="J11" s="645"/>
      <c r="K11" s="645"/>
      <c r="S11" s="15"/>
      <c r="T11" s="28"/>
      <c r="U11" s="55" t="s">
        <v>51</v>
      </c>
      <c r="V11" s="24" t="s">
        <v>29</v>
      </c>
      <c r="W11" s="48"/>
      <c r="X11" s="49" t="s">
        <v>52</v>
      </c>
      <c r="Y11" s="50"/>
      <c r="Z11" s="49"/>
      <c r="AA11" s="48"/>
      <c r="AB11" s="51" t="s">
        <v>53</v>
      </c>
      <c r="AC11" s="51"/>
      <c r="AD11" s="52"/>
      <c r="AE11" s="48"/>
      <c r="AF11" s="49" t="s">
        <v>54</v>
      </c>
      <c r="AG11" s="53"/>
      <c r="AH11" s="54"/>
      <c r="AI11" s="48"/>
      <c r="AJ11" s="45" t="s">
        <v>55</v>
      </c>
      <c r="AK11" s="12"/>
      <c r="AL11" s="48"/>
      <c r="AM11" s="56" t="s">
        <v>56</v>
      </c>
      <c r="AN11" s="57"/>
      <c r="AO11" s="58"/>
      <c r="AP11" s="48"/>
      <c r="AQ11" s="59" t="s">
        <v>57</v>
      </c>
      <c r="AR11" s="14"/>
    </row>
    <row r="12" spans="1:125" ht="15.75" customHeight="1" x14ac:dyDescent="0.2">
      <c r="A12" s="25"/>
      <c r="B12" s="2"/>
      <c r="D12" s="60"/>
      <c r="E12" s="60"/>
      <c r="F12" s="60"/>
      <c r="G12" s="60"/>
      <c r="H12" s="60"/>
      <c r="I12" s="60"/>
      <c r="J12" s="60"/>
      <c r="S12" s="15"/>
      <c r="T12" s="28"/>
      <c r="U12" s="30" t="s">
        <v>59</v>
      </c>
      <c r="V12" s="24" t="s">
        <v>20</v>
      </c>
      <c r="W12" s="47"/>
      <c r="X12" s="43" t="s">
        <v>60</v>
      </c>
      <c r="Y12" s="44"/>
      <c r="Z12" s="43"/>
      <c r="AA12" s="47"/>
      <c r="AB12" s="45" t="s">
        <v>61</v>
      </c>
      <c r="AC12" s="45"/>
      <c r="AD12" s="12"/>
      <c r="AE12" s="47"/>
      <c r="AF12" s="43" t="s">
        <v>62</v>
      </c>
      <c r="AG12" s="46"/>
      <c r="AH12" s="13"/>
      <c r="AI12" s="47"/>
      <c r="AJ12" s="45" t="s">
        <v>63</v>
      </c>
      <c r="AK12" s="12"/>
      <c r="AL12" s="47"/>
      <c r="AM12" s="56" t="s">
        <v>64</v>
      </c>
      <c r="AN12" s="57"/>
      <c r="AO12" s="61"/>
      <c r="AP12" s="47"/>
      <c r="AQ12" s="59" t="s">
        <v>65</v>
      </c>
      <c r="AR12" s="14"/>
    </row>
    <row r="13" spans="1:125" ht="15.75" customHeight="1" thickBot="1" x14ac:dyDescent="0.25">
      <c r="A13" s="25"/>
      <c r="B13" s="62" t="s">
        <v>80</v>
      </c>
      <c r="C13" s="63"/>
      <c r="D13" s="64"/>
      <c r="E13" s="65"/>
      <c r="F13" s="64"/>
      <c r="G13" s="64"/>
      <c r="H13" s="64"/>
      <c r="I13" s="64"/>
      <c r="J13" s="64"/>
      <c r="K13" s="66"/>
      <c r="L13" s="66"/>
      <c r="M13" s="66"/>
      <c r="N13" s="66"/>
      <c r="O13" s="66"/>
      <c r="P13" s="66"/>
      <c r="Q13" s="66"/>
      <c r="R13" s="66"/>
      <c r="S13" s="15"/>
      <c r="T13" s="28"/>
      <c r="U13" s="55" t="s">
        <v>66</v>
      </c>
      <c r="V13" s="24" t="s">
        <v>20</v>
      </c>
      <c r="W13" s="47"/>
      <c r="X13" s="43" t="s">
        <v>67</v>
      </c>
      <c r="Y13" s="44"/>
      <c r="Z13" s="43"/>
      <c r="AA13" s="47"/>
      <c r="AB13" s="45" t="s">
        <v>68</v>
      </c>
      <c r="AC13" s="45"/>
      <c r="AD13" s="12"/>
      <c r="AE13" s="47"/>
      <c r="AF13" s="43" t="s">
        <v>69</v>
      </c>
      <c r="AG13" s="46"/>
      <c r="AH13" s="13"/>
      <c r="AI13" s="47"/>
      <c r="AJ13" s="45" t="s">
        <v>70</v>
      </c>
      <c r="AK13" s="12"/>
      <c r="AL13" s="47"/>
      <c r="AM13" s="56" t="s">
        <v>71</v>
      </c>
      <c r="AN13" s="57"/>
      <c r="AO13" s="58"/>
      <c r="AP13" s="47"/>
      <c r="AQ13" s="59" t="s">
        <v>72</v>
      </c>
      <c r="AR13" s="14"/>
    </row>
    <row r="14" spans="1:125" ht="15.75" customHeight="1" x14ac:dyDescent="0.2">
      <c r="A14" s="25"/>
      <c r="B14" s="624" t="s">
        <v>88</v>
      </c>
      <c r="C14" s="624"/>
      <c r="D14" s="624"/>
      <c r="E14" s="67" t="s">
        <v>89</v>
      </c>
      <c r="F14" s="67"/>
      <c r="G14" s="67" t="s">
        <v>90</v>
      </c>
      <c r="H14" s="68"/>
      <c r="I14" s="69" t="s">
        <v>11</v>
      </c>
      <c r="J14" s="68"/>
      <c r="K14" s="68" t="s">
        <v>88</v>
      </c>
      <c r="L14" s="68"/>
      <c r="M14" s="68"/>
      <c r="N14" s="67" t="s">
        <v>89</v>
      </c>
      <c r="O14" s="67"/>
      <c r="P14" s="68" t="s">
        <v>90</v>
      </c>
      <c r="Q14" s="68"/>
      <c r="R14" s="69" t="s">
        <v>11</v>
      </c>
      <c r="S14" s="15"/>
      <c r="T14" s="28"/>
      <c r="U14" s="55" t="s">
        <v>73</v>
      </c>
      <c r="V14" s="24" t="s">
        <v>20</v>
      </c>
      <c r="W14" s="47"/>
      <c r="X14" s="43" t="s">
        <v>74</v>
      </c>
      <c r="Y14" s="44"/>
      <c r="Z14" s="43"/>
      <c r="AA14" s="47"/>
      <c r="AB14" s="45" t="s">
        <v>75</v>
      </c>
      <c r="AC14" s="45"/>
      <c r="AD14" s="12"/>
      <c r="AE14" s="47"/>
      <c r="AF14" s="43" t="s">
        <v>76</v>
      </c>
      <c r="AG14" s="46"/>
      <c r="AH14" s="13"/>
      <c r="AI14" s="47"/>
      <c r="AJ14" s="45" t="s">
        <v>77</v>
      </c>
      <c r="AK14" s="12"/>
      <c r="AL14" s="47"/>
      <c r="AM14" s="56" t="s">
        <v>78</v>
      </c>
      <c r="AN14" s="57"/>
      <c r="AO14" s="58"/>
      <c r="AP14" s="47"/>
      <c r="AQ14" s="59" t="s">
        <v>79</v>
      </c>
      <c r="AR14" s="14"/>
    </row>
    <row r="15" spans="1:125" ht="15.75" customHeight="1" x14ac:dyDescent="0.2">
      <c r="A15" s="25"/>
      <c r="B15" s="623" t="s">
        <v>702</v>
      </c>
      <c r="C15" s="623"/>
      <c r="D15" s="623"/>
      <c r="E15" s="73"/>
      <c r="F15" s="74"/>
      <c r="G15" s="2" t="s">
        <v>29</v>
      </c>
      <c r="J15" s="75"/>
      <c r="K15" s="623" t="s">
        <v>93</v>
      </c>
      <c r="L15" s="623"/>
      <c r="M15" s="623"/>
      <c r="N15" s="196"/>
      <c r="O15" s="74"/>
      <c r="P15" s="22" t="s">
        <v>20</v>
      </c>
      <c r="R15" s="43" t="s">
        <v>94</v>
      </c>
      <c r="S15" s="15"/>
      <c r="T15" s="28"/>
      <c r="U15" s="55" t="s">
        <v>81</v>
      </c>
      <c r="V15" s="24" t="s">
        <v>20</v>
      </c>
      <c r="W15" s="47"/>
      <c r="X15" s="43" t="s">
        <v>82</v>
      </c>
      <c r="Y15" s="44"/>
      <c r="Z15" s="43"/>
      <c r="AA15" s="47"/>
      <c r="AB15" s="45" t="s">
        <v>83</v>
      </c>
      <c r="AC15" s="45"/>
      <c r="AD15" s="12"/>
      <c r="AE15" s="47"/>
      <c r="AF15" s="43" t="s">
        <v>84</v>
      </c>
      <c r="AG15" s="46"/>
      <c r="AH15" s="13"/>
      <c r="AI15" s="47"/>
      <c r="AJ15" s="45" t="s">
        <v>85</v>
      </c>
      <c r="AK15" s="12"/>
      <c r="AL15" s="47"/>
      <c r="AM15" s="56" t="s">
        <v>86</v>
      </c>
      <c r="AN15" s="57"/>
      <c r="AO15" s="58"/>
      <c r="AP15" s="47"/>
      <c r="AQ15" s="59" t="s">
        <v>87</v>
      </c>
      <c r="AR15" s="14"/>
    </row>
    <row r="16" spans="1:125" ht="15.75" customHeight="1" x14ac:dyDescent="0.15">
      <c r="A16" s="25"/>
      <c r="B16" s="623" t="s">
        <v>722</v>
      </c>
      <c r="C16" s="623"/>
      <c r="D16" s="623"/>
      <c r="E16" s="74">
        <v>1</v>
      </c>
      <c r="F16" s="74"/>
      <c r="G16" s="2"/>
      <c r="J16" s="75"/>
      <c r="K16" s="623" t="s">
        <v>99</v>
      </c>
      <c r="L16" s="623"/>
      <c r="M16" s="623"/>
      <c r="N16" s="196"/>
      <c r="O16" s="74"/>
      <c r="P16" s="22" t="s">
        <v>20</v>
      </c>
      <c r="R16" s="43" t="s">
        <v>100</v>
      </c>
      <c r="S16" s="15"/>
      <c r="T16" s="28"/>
      <c r="U16" s="55" t="s">
        <v>91</v>
      </c>
      <c r="V16" s="24" t="s">
        <v>92</v>
      </c>
      <c r="W16" s="626"/>
      <c r="X16" s="626"/>
      <c r="Y16" s="70"/>
      <c r="Z16" s="71"/>
      <c r="AA16" s="72"/>
      <c r="AB16" s="45"/>
      <c r="AC16" s="45"/>
      <c r="AD16" s="12"/>
      <c r="AE16" s="626"/>
      <c r="AF16" s="626"/>
      <c r="AG16" s="46"/>
      <c r="AH16" s="13"/>
      <c r="AI16" s="72"/>
      <c r="AJ16" s="21"/>
      <c r="AK16" s="12"/>
      <c r="AL16" s="626"/>
      <c r="AM16" s="626"/>
      <c r="AN16" s="46"/>
      <c r="AO16" s="13"/>
      <c r="AP16" s="13"/>
      <c r="AQ16" s="21"/>
      <c r="AR16" s="14"/>
    </row>
    <row r="17" spans="1:44" ht="15.75" customHeight="1" x14ac:dyDescent="0.2">
      <c r="A17" s="25"/>
      <c r="B17" s="1" t="s">
        <v>772</v>
      </c>
      <c r="E17" s="625"/>
      <c r="F17" s="625"/>
      <c r="G17" s="625"/>
      <c r="J17" s="75"/>
      <c r="K17" s="623" t="s">
        <v>104</v>
      </c>
      <c r="L17" s="623"/>
      <c r="M17" s="623"/>
      <c r="N17" s="196"/>
      <c r="O17" s="74"/>
      <c r="P17" s="22" t="s">
        <v>20</v>
      </c>
      <c r="R17" s="43" t="s">
        <v>105</v>
      </c>
      <c r="S17" s="15"/>
      <c r="T17" s="28"/>
      <c r="U17" s="30" t="s">
        <v>95</v>
      </c>
      <c r="V17" s="24" t="s">
        <v>20</v>
      </c>
      <c r="W17" s="76"/>
      <c r="X17" s="2"/>
      <c r="Y17" s="77"/>
      <c r="Z17" s="2"/>
      <c r="AA17" s="47"/>
      <c r="AB17" s="45" t="s">
        <v>96</v>
      </c>
      <c r="AC17" s="45"/>
      <c r="AD17" s="12"/>
      <c r="AE17" s="76"/>
      <c r="AF17" s="43"/>
      <c r="AG17" s="46"/>
      <c r="AH17" s="13"/>
      <c r="AI17" s="78">
        <f>AA17</f>
        <v>0</v>
      </c>
      <c r="AJ17" s="45" t="s">
        <v>97</v>
      </c>
      <c r="AK17" s="12"/>
      <c r="AL17" s="2"/>
      <c r="AM17" s="43"/>
      <c r="AN17" s="46"/>
      <c r="AO17" s="13"/>
      <c r="AP17" s="47"/>
      <c r="AQ17" s="45" t="s">
        <v>98</v>
      </c>
      <c r="AR17" s="14"/>
    </row>
    <row r="18" spans="1:44" ht="15" customHeight="1" x14ac:dyDescent="0.2">
      <c r="A18" s="25"/>
      <c r="B18" s="623" t="s">
        <v>815</v>
      </c>
      <c r="C18" s="623"/>
      <c r="D18" s="623"/>
      <c r="E18" s="241"/>
      <c r="F18" s="87"/>
      <c r="G18" s="2" t="s">
        <v>113</v>
      </c>
      <c r="I18" s="22" t="s">
        <v>929</v>
      </c>
      <c r="J18" s="75"/>
      <c r="K18" s="623" t="s">
        <v>108</v>
      </c>
      <c r="L18" s="623"/>
      <c r="M18" s="623"/>
      <c r="N18" s="196"/>
      <c r="O18" s="74"/>
      <c r="P18" s="22" t="s">
        <v>20</v>
      </c>
      <c r="R18" s="43" t="s">
        <v>109</v>
      </c>
      <c r="S18" s="15"/>
      <c r="T18" s="28"/>
      <c r="U18" s="30" t="s">
        <v>791</v>
      </c>
      <c r="V18" s="24" t="s">
        <v>781</v>
      </c>
      <c r="W18" s="76"/>
      <c r="X18" s="2"/>
      <c r="Y18" s="77"/>
      <c r="Z18" s="2"/>
      <c r="AA18" s="398"/>
      <c r="AB18" s="45" t="s">
        <v>793</v>
      </c>
      <c r="AC18" s="45"/>
      <c r="AD18" s="12"/>
      <c r="AE18" s="76"/>
      <c r="AF18" s="43"/>
      <c r="AG18" s="46"/>
      <c r="AH18" s="13"/>
      <c r="AI18" s="398"/>
      <c r="AJ18" s="45" t="s">
        <v>796</v>
      </c>
      <c r="AK18" s="12"/>
      <c r="AL18" s="2"/>
      <c r="AM18" s="43"/>
      <c r="AN18" s="46"/>
      <c r="AO18" s="13"/>
      <c r="AP18" s="398"/>
      <c r="AQ18" s="45" t="s">
        <v>799</v>
      </c>
      <c r="AR18" s="14"/>
    </row>
    <row r="19" spans="1:44" ht="15" customHeight="1" x14ac:dyDescent="0.2">
      <c r="A19" s="25"/>
      <c r="B19" s="623" t="s">
        <v>101</v>
      </c>
      <c r="C19" s="623"/>
      <c r="D19" s="623"/>
      <c r="E19" s="83">
        <f>'General Information'!L21</f>
        <v>0</v>
      </c>
      <c r="F19" s="84"/>
      <c r="G19" s="2" t="s">
        <v>102</v>
      </c>
      <c r="I19" s="22" t="s">
        <v>103</v>
      </c>
      <c r="J19" s="75"/>
      <c r="K19" s="623" t="s">
        <v>114</v>
      </c>
      <c r="L19" s="623"/>
      <c r="M19" s="623"/>
      <c r="N19" s="196"/>
      <c r="O19" s="74"/>
      <c r="P19" s="22" t="s">
        <v>20</v>
      </c>
      <c r="R19" s="43" t="s">
        <v>115</v>
      </c>
      <c r="S19" s="15"/>
      <c r="T19" s="10"/>
      <c r="U19" s="251" t="s">
        <v>792</v>
      </c>
      <c r="V19" s="24" t="s">
        <v>781</v>
      </c>
      <c r="W19" s="76"/>
      <c r="X19" s="2"/>
      <c r="Y19" s="77"/>
      <c r="Z19" s="2">
        <v>10</v>
      </c>
      <c r="AA19" s="398"/>
      <c r="AB19" s="45" t="s">
        <v>794</v>
      </c>
      <c r="AC19" s="45"/>
      <c r="AD19" s="12"/>
      <c r="AE19" s="76"/>
      <c r="AF19" s="43"/>
      <c r="AG19" s="46"/>
      <c r="AH19" s="13"/>
      <c r="AI19" s="398"/>
      <c r="AJ19" s="45" t="s">
        <v>797</v>
      </c>
      <c r="AK19" s="12"/>
      <c r="AL19" s="2"/>
      <c r="AM19" s="43"/>
      <c r="AN19" s="46"/>
      <c r="AO19" s="13"/>
      <c r="AP19" s="398"/>
      <c r="AQ19" s="45" t="s">
        <v>800</v>
      </c>
      <c r="AR19" s="14"/>
    </row>
    <row r="20" spans="1:44" ht="15" customHeight="1" x14ac:dyDescent="0.2">
      <c r="A20" s="25"/>
      <c r="B20" s="623" t="s">
        <v>106</v>
      </c>
      <c r="C20" s="623"/>
      <c r="D20" s="623"/>
      <c r="E20" s="85">
        <f>'General Information'!L22</f>
        <v>0</v>
      </c>
      <c r="F20" s="84"/>
      <c r="G20" s="2" t="s">
        <v>102</v>
      </c>
      <c r="I20" s="22" t="s">
        <v>107</v>
      </c>
      <c r="J20" s="75"/>
      <c r="K20" s="623" t="s">
        <v>117</v>
      </c>
      <c r="L20" s="623"/>
      <c r="M20" s="623"/>
      <c r="N20" s="195">
        <f>'General Information'!C20</f>
        <v>0</v>
      </c>
      <c r="O20" s="74"/>
      <c r="P20" s="22" t="s">
        <v>29</v>
      </c>
      <c r="R20" s="43" t="s">
        <v>118</v>
      </c>
      <c r="S20" s="15"/>
      <c r="T20" s="10"/>
      <c r="U20" s="251" t="s">
        <v>789</v>
      </c>
      <c r="V20" s="24" t="s">
        <v>790</v>
      </c>
      <c r="W20" s="371"/>
      <c r="X20" s="372"/>
      <c r="Y20" s="374"/>
      <c r="Z20" s="372"/>
      <c r="AA20" s="399"/>
      <c r="AB20" s="45" t="s">
        <v>795</v>
      </c>
      <c r="AC20" s="45"/>
      <c r="AD20" s="82"/>
      <c r="AE20" s="371"/>
      <c r="AF20" s="372"/>
      <c r="AG20" s="383"/>
      <c r="AH20" s="369"/>
      <c r="AI20" s="399"/>
      <c r="AJ20" s="45" t="s">
        <v>798</v>
      </c>
      <c r="AK20" s="82"/>
      <c r="AL20" s="371"/>
      <c r="AM20" s="372"/>
      <c r="AN20" s="383"/>
      <c r="AO20" s="369"/>
      <c r="AP20" s="399"/>
      <c r="AQ20" s="45" t="s">
        <v>801</v>
      </c>
      <c r="AR20" s="14"/>
    </row>
    <row r="21" spans="1:44" ht="15" customHeight="1" x14ac:dyDescent="0.2">
      <c r="A21" s="25"/>
      <c r="B21" s="627" t="s">
        <v>783</v>
      </c>
      <c r="C21" s="627"/>
      <c r="D21" s="627"/>
      <c r="F21" s="87"/>
      <c r="I21" s="1"/>
      <c r="J21" s="75"/>
      <c r="K21" s="96" t="s">
        <v>780</v>
      </c>
      <c r="L21" s="43"/>
      <c r="M21" s="43"/>
      <c r="N21" s="454"/>
      <c r="O21" s="43"/>
      <c r="P21" s="43" t="s">
        <v>781</v>
      </c>
      <c r="Q21" s="43"/>
      <c r="R21" s="43" t="s">
        <v>786</v>
      </c>
      <c r="S21" s="15"/>
      <c r="T21" s="10"/>
      <c r="U21" s="436" t="s">
        <v>943</v>
      </c>
      <c r="V21" s="437" t="s">
        <v>29</v>
      </c>
      <c r="W21" s="373"/>
      <c r="X21" s="372"/>
      <c r="Y21" s="372"/>
      <c r="Z21" s="438"/>
      <c r="AA21" s="458"/>
      <c r="AB21" s="439" t="s">
        <v>944</v>
      </c>
      <c r="AC21" s="45"/>
      <c r="AD21" s="82"/>
      <c r="AE21" s="440"/>
      <c r="AF21" s="372"/>
      <c r="AG21" s="372"/>
      <c r="AH21" s="441"/>
      <c r="AI21" s="458"/>
      <c r="AJ21" s="439" t="s">
        <v>945</v>
      </c>
      <c r="AK21" s="369"/>
      <c r="AL21" s="440"/>
      <c r="AM21" s="372"/>
      <c r="AN21" s="374"/>
      <c r="AO21" s="372"/>
      <c r="AP21" s="458"/>
      <c r="AQ21" s="439" t="s">
        <v>946</v>
      </c>
      <c r="AR21" s="14"/>
    </row>
    <row r="22" spans="1:44" ht="15" customHeight="1" x14ac:dyDescent="0.15">
      <c r="A22" s="25"/>
      <c r="B22" s="250" t="s">
        <v>782</v>
      </c>
      <c r="C22" s="243"/>
      <c r="D22" s="243"/>
      <c r="E22" s="83">
        <f>E20*(1-E18)-(E18*((N20-E15)*4.2+2260))</f>
        <v>0</v>
      </c>
      <c r="F22" s="87"/>
      <c r="G22" s="2" t="s">
        <v>102</v>
      </c>
      <c r="I22" s="22" t="s">
        <v>928</v>
      </c>
      <c r="J22" s="75"/>
      <c r="K22" s="96"/>
      <c r="L22" s="43"/>
      <c r="M22" s="244" t="s">
        <v>784</v>
      </c>
      <c r="N22" s="454"/>
      <c r="O22" s="43"/>
      <c r="P22" s="43" t="s">
        <v>781</v>
      </c>
      <c r="Q22" s="43"/>
      <c r="R22" s="43" t="s">
        <v>787</v>
      </c>
      <c r="S22" s="15"/>
      <c r="T22" s="10"/>
      <c r="U22" s="251" t="s">
        <v>954</v>
      </c>
      <c r="V22" s="24" t="s">
        <v>20</v>
      </c>
      <c r="W22" s="76"/>
      <c r="X22" s="2"/>
      <c r="Y22" s="77"/>
      <c r="Z22" s="2"/>
      <c r="AA22" s="398"/>
      <c r="AB22" s="389" t="s">
        <v>914</v>
      </c>
      <c r="AC22" s="45"/>
      <c r="AD22" s="12"/>
      <c r="AE22" s="76"/>
      <c r="AF22" s="43"/>
      <c r="AG22" s="46"/>
      <c r="AH22" s="13"/>
      <c r="AI22" s="398"/>
      <c r="AJ22" s="451" t="s">
        <v>968</v>
      </c>
      <c r="AK22" s="21"/>
      <c r="AL22" s="2"/>
      <c r="AM22" s="43"/>
      <c r="AN22" s="46"/>
      <c r="AO22" s="13"/>
      <c r="AP22" s="398"/>
      <c r="AQ22" s="391" t="s">
        <v>916</v>
      </c>
      <c r="AR22" s="14"/>
    </row>
    <row r="23" spans="1:44" ht="15" customHeight="1" x14ac:dyDescent="0.15">
      <c r="A23" s="25"/>
      <c r="B23" s="622" t="s">
        <v>736</v>
      </c>
      <c r="C23" s="622"/>
      <c r="D23" s="622"/>
      <c r="E23" s="83">
        <f>'General Information'!L11</f>
        <v>0</v>
      </c>
      <c r="F23" s="2"/>
      <c r="G23" s="2" t="s">
        <v>102</v>
      </c>
      <c r="J23" s="75"/>
      <c r="K23" s="96"/>
      <c r="L23" s="43"/>
      <c r="M23" s="244" t="s">
        <v>785</v>
      </c>
      <c r="N23" s="454"/>
      <c r="O23" s="43"/>
      <c r="P23" s="43" t="s">
        <v>790</v>
      </c>
      <c r="Q23" s="43"/>
      <c r="R23" s="43" t="s">
        <v>788</v>
      </c>
      <c r="S23" s="15"/>
      <c r="T23" s="10"/>
      <c r="U23" s="251" t="s">
        <v>955</v>
      </c>
      <c r="V23" s="24" t="s">
        <v>20</v>
      </c>
      <c r="W23" s="76"/>
      <c r="X23" s="2"/>
      <c r="Y23" s="77"/>
      <c r="Z23" s="2">
        <v>10</v>
      </c>
      <c r="AA23" s="398"/>
      <c r="AB23" s="390" t="s">
        <v>911</v>
      </c>
      <c r="AC23" s="45"/>
      <c r="AD23" s="12"/>
      <c r="AE23" s="76"/>
      <c r="AF23" s="43"/>
      <c r="AG23" s="46"/>
      <c r="AH23" s="13"/>
      <c r="AI23" s="398"/>
      <c r="AJ23" s="358" t="s">
        <v>912</v>
      </c>
      <c r="AK23" s="12"/>
      <c r="AL23" s="2"/>
      <c r="AM23" s="43"/>
      <c r="AN23" s="46"/>
      <c r="AO23" s="13"/>
      <c r="AP23" s="398"/>
      <c r="AQ23" s="391" t="s">
        <v>913</v>
      </c>
      <c r="AR23" s="14"/>
    </row>
    <row r="24" spans="1:44" ht="15.75" customHeight="1" thickBot="1" x14ac:dyDescent="0.2">
      <c r="A24" s="25"/>
      <c r="D24" s="97"/>
      <c r="E24" s="98"/>
      <c r="F24" s="2"/>
      <c r="G24" s="2"/>
      <c r="K24" s="96"/>
      <c r="L24" s="43"/>
      <c r="M24" s="43"/>
      <c r="N24" s="43"/>
      <c r="O24" s="43"/>
      <c r="P24" s="43"/>
      <c r="Q24" s="43"/>
      <c r="R24" s="43"/>
      <c r="S24" s="15"/>
      <c r="T24" s="10"/>
      <c r="U24" s="442" t="s">
        <v>956</v>
      </c>
      <c r="V24" s="37" t="s">
        <v>20</v>
      </c>
      <c r="W24" s="79"/>
      <c r="X24" s="80"/>
      <c r="Y24" s="81"/>
      <c r="Z24" s="80"/>
      <c r="AA24" s="443"/>
      <c r="AB24" s="444" t="s">
        <v>908</v>
      </c>
      <c r="AC24" s="445"/>
      <c r="AD24" s="446"/>
      <c r="AE24" s="79"/>
      <c r="AF24" s="80"/>
      <c r="AG24" s="447"/>
      <c r="AH24" s="448"/>
      <c r="AI24" s="443"/>
      <c r="AJ24" s="449" t="s">
        <v>909</v>
      </c>
      <c r="AK24" s="446"/>
      <c r="AL24" s="79"/>
      <c r="AM24" s="80"/>
      <c r="AN24" s="447"/>
      <c r="AO24" s="448"/>
      <c r="AP24" s="443"/>
      <c r="AQ24" s="450" t="s">
        <v>910</v>
      </c>
      <c r="AR24" s="14"/>
    </row>
    <row r="25" spans="1:44" ht="15.75" customHeight="1" thickBot="1" x14ac:dyDescent="0.2">
      <c r="A25" s="25"/>
      <c r="B25" s="99" t="s">
        <v>737</v>
      </c>
      <c r="C25" s="100"/>
      <c r="D25" s="101"/>
      <c r="E25" s="646"/>
      <c r="F25" s="646"/>
      <c r="G25" s="646"/>
      <c r="H25" s="646"/>
      <c r="I25" s="646"/>
      <c r="J25" s="646"/>
      <c r="K25" s="646"/>
      <c r="L25" s="646"/>
      <c r="M25" s="646"/>
      <c r="N25" s="646"/>
      <c r="O25" s="646"/>
      <c r="P25" s="646"/>
      <c r="Q25" s="646"/>
      <c r="R25" s="647"/>
      <c r="S25" s="15"/>
      <c r="T25" s="10"/>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14"/>
    </row>
    <row r="26" spans="1:44" ht="15.75" customHeight="1" x14ac:dyDescent="0.15">
      <c r="A26" s="25"/>
      <c r="B26" s="616"/>
      <c r="C26" s="617"/>
      <c r="D26" s="617"/>
      <c r="E26" s="617"/>
      <c r="F26" s="617"/>
      <c r="G26" s="617"/>
      <c r="H26" s="617"/>
      <c r="I26" s="617"/>
      <c r="J26" s="617"/>
      <c r="K26" s="617"/>
      <c r="L26" s="617"/>
      <c r="M26" s="617"/>
      <c r="N26" s="617"/>
      <c r="O26" s="617"/>
      <c r="P26" s="617"/>
      <c r="Q26" s="617"/>
      <c r="R26" s="618"/>
      <c r="S26" s="15"/>
      <c r="T26" s="10"/>
      <c r="U26" s="377"/>
      <c r="V26" s="13"/>
      <c r="W26" s="86" t="s">
        <v>110</v>
      </c>
      <c r="X26" s="13"/>
      <c r="Y26" s="23"/>
      <c r="Z26" s="13"/>
      <c r="AA26" s="86" t="s">
        <v>111</v>
      </c>
      <c r="AB26" s="13"/>
      <c r="AC26" s="13"/>
      <c r="AD26" s="21"/>
      <c r="AE26" s="118" t="s">
        <v>964</v>
      </c>
      <c r="AF26" s="13"/>
      <c r="AG26" s="13"/>
      <c r="AH26" s="13"/>
      <c r="AI26" s="13"/>
      <c r="AJ26" s="13"/>
      <c r="AK26" s="13"/>
      <c r="AL26" s="13"/>
      <c r="AM26" s="13"/>
      <c r="AN26" s="13"/>
      <c r="AO26" s="13"/>
      <c r="AP26" s="13"/>
      <c r="AQ26" s="13"/>
      <c r="AR26" s="385"/>
    </row>
    <row r="27" spans="1:44" ht="15.75" customHeight="1" x14ac:dyDescent="0.15">
      <c r="A27" s="25"/>
      <c r="B27" s="616"/>
      <c r="C27" s="617"/>
      <c r="D27" s="617"/>
      <c r="E27" s="617"/>
      <c r="F27" s="617"/>
      <c r="G27" s="617"/>
      <c r="H27" s="617"/>
      <c r="I27" s="617"/>
      <c r="J27" s="617"/>
      <c r="K27" s="617"/>
      <c r="L27" s="617"/>
      <c r="M27" s="617"/>
      <c r="N27" s="617"/>
      <c r="O27" s="617"/>
      <c r="P27" s="617"/>
      <c r="Q27" s="617"/>
      <c r="R27" s="618"/>
      <c r="S27" s="15"/>
      <c r="T27" s="10"/>
      <c r="U27" s="378" t="s">
        <v>116</v>
      </c>
      <c r="V27" s="89" t="s">
        <v>9</v>
      </c>
      <c r="W27" s="89" t="s">
        <v>10</v>
      </c>
      <c r="X27" s="89" t="s">
        <v>11</v>
      </c>
      <c r="Y27" s="46"/>
      <c r="Z27" s="13"/>
      <c r="AA27" s="89" t="s">
        <v>10</v>
      </c>
      <c r="AB27" s="89" t="s">
        <v>11</v>
      </c>
      <c r="AC27" s="89"/>
      <c r="AD27" s="21"/>
      <c r="AE27" s="90" t="s">
        <v>116</v>
      </c>
      <c r="AF27" s="13"/>
      <c r="AG27" s="13"/>
      <c r="AH27" s="13"/>
      <c r="AI27" s="13"/>
      <c r="AJ27" s="13"/>
      <c r="AK27" s="13"/>
      <c r="AL27" s="13"/>
      <c r="AM27" s="89" t="s">
        <v>9</v>
      </c>
      <c r="AN27" s="13"/>
      <c r="AO27" s="13"/>
      <c r="AP27" s="89" t="s">
        <v>10</v>
      </c>
      <c r="AQ27" s="89" t="s">
        <v>11</v>
      </c>
      <c r="AR27" s="14"/>
    </row>
    <row r="28" spans="1:44" ht="15.75" customHeight="1" x14ac:dyDescent="0.2">
      <c r="A28" s="25"/>
      <c r="B28" s="616"/>
      <c r="C28" s="617"/>
      <c r="D28" s="617"/>
      <c r="E28" s="617"/>
      <c r="F28" s="617"/>
      <c r="G28" s="617"/>
      <c r="H28" s="617"/>
      <c r="I28" s="617"/>
      <c r="J28" s="617"/>
      <c r="K28" s="617"/>
      <c r="L28" s="617"/>
      <c r="M28" s="617"/>
      <c r="N28" s="617"/>
      <c r="O28" s="617"/>
      <c r="P28" s="617"/>
      <c r="Q28" s="617"/>
      <c r="R28" s="618"/>
      <c r="S28" s="15"/>
      <c r="T28" s="10"/>
      <c r="U28" s="379" t="s">
        <v>874</v>
      </c>
      <c r="V28" s="92" t="s">
        <v>20</v>
      </c>
      <c r="W28" s="93">
        <f>W7-AA7</f>
        <v>0</v>
      </c>
      <c r="X28" s="56" t="s">
        <v>119</v>
      </c>
      <c r="Y28" s="57"/>
      <c r="Z28" s="61"/>
      <c r="AA28" s="93">
        <f>AE7-AI7</f>
        <v>0</v>
      </c>
      <c r="AB28" s="56" t="s">
        <v>120</v>
      </c>
      <c r="AC28" s="56"/>
      <c r="AD28" s="21"/>
      <c r="AE28" s="95" t="s">
        <v>876</v>
      </c>
      <c r="AF28" s="61"/>
      <c r="AG28" s="61"/>
      <c r="AH28" s="61"/>
      <c r="AI28" s="61"/>
      <c r="AJ28" s="61"/>
      <c r="AK28" s="61"/>
      <c r="AL28" s="61"/>
      <c r="AM28" s="92" t="s">
        <v>20</v>
      </c>
      <c r="AN28" s="61"/>
      <c r="AO28" s="61"/>
      <c r="AP28" s="93">
        <f>AL7-AP7</f>
        <v>0</v>
      </c>
      <c r="AQ28" s="56" t="s">
        <v>121</v>
      </c>
      <c r="AR28" s="14"/>
    </row>
    <row r="29" spans="1:44" ht="15.75" customHeight="1" x14ac:dyDescent="0.2">
      <c r="A29" s="25"/>
      <c r="B29" s="616"/>
      <c r="C29" s="617"/>
      <c r="D29" s="617"/>
      <c r="E29" s="617"/>
      <c r="F29" s="617"/>
      <c r="G29" s="617"/>
      <c r="H29" s="617"/>
      <c r="I29" s="617"/>
      <c r="J29" s="617"/>
      <c r="K29" s="617"/>
      <c r="L29" s="617"/>
      <c r="M29" s="617"/>
      <c r="N29" s="617"/>
      <c r="O29" s="617"/>
      <c r="P29" s="617"/>
      <c r="Q29" s="617"/>
      <c r="R29" s="618"/>
      <c r="S29" s="15"/>
      <c r="T29" s="10"/>
      <c r="U29" s="379" t="s">
        <v>122</v>
      </c>
      <c r="V29" s="92" t="s">
        <v>20</v>
      </c>
      <c r="W29" s="93">
        <f>AA17-$N$19</f>
        <v>0</v>
      </c>
      <c r="X29" s="56" t="s">
        <v>123</v>
      </c>
      <c r="Y29" s="57"/>
      <c r="Z29" s="61"/>
      <c r="AA29" s="93">
        <f>IF(AA28=0,0,AI17-$N$19)</f>
        <v>0</v>
      </c>
      <c r="AB29" s="56" t="s">
        <v>124</v>
      </c>
      <c r="AC29" s="56"/>
      <c r="AD29" s="94"/>
      <c r="AE29" s="95" t="s">
        <v>125</v>
      </c>
      <c r="AF29" s="61"/>
      <c r="AG29" s="61"/>
      <c r="AH29" s="61"/>
      <c r="AI29" s="61"/>
      <c r="AJ29" s="61"/>
      <c r="AK29" s="61"/>
      <c r="AL29" s="61"/>
      <c r="AM29" s="92" t="s">
        <v>20</v>
      </c>
      <c r="AN29" s="61"/>
      <c r="AO29" s="61"/>
      <c r="AP29" s="93">
        <f>(AP17-$N$19)-W29</f>
        <v>0</v>
      </c>
      <c r="AQ29" s="56" t="s">
        <v>126</v>
      </c>
      <c r="AR29" s="14"/>
    </row>
    <row r="30" spans="1:44" ht="15.75" customHeight="1" x14ac:dyDescent="0.2">
      <c r="A30" s="25"/>
      <c r="B30" s="616"/>
      <c r="C30" s="617"/>
      <c r="D30" s="617"/>
      <c r="E30" s="617"/>
      <c r="F30" s="617"/>
      <c r="G30" s="617"/>
      <c r="H30" s="617"/>
      <c r="I30" s="617"/>
      <c r="J30" s="617"/>
      <c r="K30" s="617"/>
      <c r="L30" s="617"/>
      <c r="M30" s="617"/>
      <c r="N30" s="617"/>
      <c r="O30" s="617"/>
      <c r="P30" s="617"/>
      <c r="Q30" s="617"/>
      <c r="R30" s="618"/>
      <c r="S30" s="15"/>
      <c r="T30" s="10"/>
      <c r="U30" s="379" t="s">
        <v>875</v>
      </c>
      <c r="V30" s="92" t="s">
        <v>20</v>
      </c>
      <c r="W30" s="327" t="e">
        <f>(W28*($E$20*(1-$E$18)-$E$18*(4.186*($N$20-$E$15)+2257))-W29*$E23)/$E$20</f>
        <v>#DIV/0!</v>
      </c>
      <c r="X30" s="328" t="s">
        <v>127</v>
      </c>
      <c r="Y30" s="329"/>
      <c r="Z30" s="330"/>
      <c r="AA30" s="327">
        <f>IF(AA28=0,0,(AA28*($E$20*(1-$E$18)-$E$18*(4.186*($N$20-$E$15)+2257))-AA29*$E23)/$E$20)</f>
        <v>0</v>
      </c>
      <c r="AB30" s="328" t="s">
        <v>128</v>
      </c>
      <c r="AC30" s="328"/>
      <c r="AD30" s="331"/>
      <c r="AE30" s="332" t="s">
        <v>875</v>
      </c>
      <c r="AF30" s="330"/>
      <c r="AG30" s="330"/>
      <c r="AH30" s="330"/>
      <c r="AI30" s="330"/>
      <c r="AJ30" s="330"/>
      <c r="AK30" s="330"/>
      <c r="AL30" s="330"/>
      <c r="AM30" s="333" t="s">
        <v>20</v>
      </c>
      <c r="AN30" s="330"/>
      <c r="AO30" s="330"/>
      <c r="AP30" s="327" t="e">
        <f>(AP28*($E$20*(1-$E$18)-$E$18*(4.186*($N$20-$E$15)+2257))-AP29*$E23)/$E$20</f>
        <v>#DIV/0!</v>
      </c>
      <c r="AQ30" s="56" t="s">
        <v>129</v>
      </c>
      <c r="AR30" s="14"/>
    </row>
    <row r="31" spans="1:44" ht="15.75" customHeight="1" x14ac:dyDescent="0.2">
      <c r="A31" s="25"/>
      <c r="B31" s="616"/>
      <c r="C31" s="617"/>
      <c r="D31" s="617"/>
      <c r="E31" s="617"/>
      <c r="F31" s="617"/>
      <c r="G31" s="617"/>
      <c r="H31" s="617"/>
      <c r="I31" s="617"/>
      <c r="J31" s="617"/>
      <c r="K31" s="617"/>
      <c r="L31" s="617"/>
      <c r="M31" s="617"/>
      <c r="N31" s="617"/>
      <c r="O31" s="617"/>
      <c r="P31" s="617"/>
      <c r="Q31" s="617"/>
      <c r="R31" s="618"/>
      <c r="S31" s="15"/>
      <c r="T31" s="10"/>
      <c r="U31" s="379" t="s">
        <v>130</v>
      </c>
      <c r="V31" s="92" t="s">
        <v>20</v>
      </c>
      <c r="W31" s="93">
        <f>SUM(W12:W15)-SUM(AA12:AA15)</f>
        <v>0</v>
      </c>
      <c r="X31" s="56" t="s">
        <v>131</v>
      </c>
      <c r="Y31" s="57"/>
      <c r="Z31" s="61"/>
      <c r="AA31" s="93">
        <f>SUM(AE12:AE15)-SUM(AI12:AI15)</f>
        <v>0</v>
      </c>
      <c r="AB31" s="56" t="s">
        <v>132</v>
      </c>
      <c r="AC31" s="56"/>
      <c r="AD31" s="94"/>
      <c r="AE31" s="95" t="s">
        <v>133</v>
      </c>
      <c r="AF31" s="61"/>
      <c r="AG31" s="61"/>
      <c r="AH31" s="61"/>
      <c r="AI31" s="61"/>
      <c r="AJ31" s="61"/>
      <c r="AK31" s="61"/>
      <c r="AL31" s="61"/>
      <c r="AM31" s="92" t="s">
        <v>20</v>
      </c>
      <c r="AN31" s="61"/>
      <c r="AO31" s="61"/>
      <c r="AP31" s="93">
        <f>(AL12-AP12)+(AL13-AP13)+(AL14-AP14)+(AL15-AP15)</f>
        <v>0</v>
      </c>
      <c r="AQ31" s="56" t="s">
        <v>134</v>
      </c>
      <c r="AR31" s="14"/>
    </row>
    <row r="32" spans="1:44" ht="15.75" customHeight="1" x14ac:dyDescent="0.2">
      <c r="A32" s="25"/>
      <c r="B32" s="616"/>
      <c r="C32" s="617"/>
      <c r="D32" s="617"/>
      <c r="E32" s="617"/>
      <c r="F32" s="617"/>
      <c r="G32" s="617"/>
      <c r="H32" s="617"/>
      <c r="I32" s="617"/>
      <c r="J32" s="617"/>
      <c r="K32" s="617"/>
      <c r="L32" s="617"/>
      <c r="M32" s="617"/>
      <c r="N32" s="617"/>
      <c r="O32" s="617"/>
      <c r="P32" s="617"/>
      <c r="Q32" s="617"/>
      <c r="R32" s="618"/>
      <c r="S32" s="15"/>
      <c r="T32" s="10"/>
      <c r="U32" s="379" t="s">
        <v>135</v>
      </c>
      <c r="V32" s="92" t="s">
        <v>20</v>
      </c>
      <c r="W32" s="93" t="e">
        <f>((AA12-$N15)*(AA8-W8)/($N$20-W8)+(AA13-$N16)*(AA9-W9)/($N$20-W9)+(AA14-$N17)*(AA10-W10)/($N$20-W10)+(AA15-$N18)*(AA11-W11)/($N$20-W11))</f>
        <v>#DIV/0!</v>
      </c>
      <c r="X32" s="56" t="s">
        <v>136</v>
      </c>
      <c r="Y32" s="57"/>
      <c r="Z32" s="61"/>
      <c r="AA32" s="93" t="e">
        <f>((AI12-$N15)*(AI8-AE8)/($N$20-AE8)+(AI13-$N16)*(AI9-AE9)/($N$20-AE9)+(AI14-$N17)*(AI10-AE10)/($N$20-AE10)+(AI15-$N18)*(AI11-AE11)/($N$20-AE11))</f>
        <v>#DIV/0!</v>
      </c>
      <c r="AB32" s="56" t="s">
        <v>137</v>
      </c>
      <c r="AC32" s="56"/>
      <c r="AD32" s="94"/>
      <c r="AE32" s="95" t="s">
        <v>138</v>
      </c>
      <c r="AF32" s="61"/>
      <c r="AG32" s="61"/>
      <c r="AH32" s="61"/>
      <c r="AI32" s="61"/>
      <c r="AJ32" s="61"/>
      <c r="AK32" s="61"/>
      <c r="AL32" s="61"/>
      <c r="AM32" s="92" t="s">
        <v>20</v>
      </c>
      <c r="AN32" s="61"/>
      <c r="AO32" s="61"/>
      <c r="AP32" s="93">
        <f>(AP12-$N$15+((AP9-25)/(N20-25))*(AP13-N16)+((AP10-25)/(N20-25))*(AP14-N17)+((AP11-25)/(N20-25))*(AP15-N18))</f>
        <v>0</v>
      </c>
      <c r="AQ32" s="56" t="s">
        <v>139</v>
      </c>
      <c r="AR32" s="14"/>
    </row>
    <row r="33" spans="1:122" ht="15.75" customHeight="1" x14ac:dyDescent="0.2">
      <c r="A33" s="25"/>
      <c r="B33" s="616"/>
      <c r="C33" s="617"/>
      <c r="D33" s="617"/>
      <c r="E33" s="617"/>
      <c r="F33" s="617"/>
      <c r="G33" s="617"/>
      <c r="H33" s="617"/>
      <c r="I33" s="617"/>
      <c r="J33" s="617"/>
      <c r="K33" s="617"/>
      <c r="L33" s="617"/>
      <c r="M33" s="617"/>
      <c r="N33" s="617"/>
      <c r="O33" s="617"/>
      <c r="P33" s="617"/>
      <c r="Q33" s="617"/>
      <c r="R33" s="618"/>
      <c r="S33" s="15"/>
      <c r="T33" s="10"/>
      <c r="U33" s="379" t="s">
        <v>140</v>
      </c>
      <c r="V33" s="92" t="s">
        <v>141</v>
      </c>
      <c r="W33" s="93">
        <f>(AA6-W6)*1440</f>
        <v>0</v>
      </c>
      <c r="X33" s="56" t="s">
        <v>142</v>
      </c>
      <c r="Y33" s="57"/>
      <c r="Z33" s="61"/>
      <c r="AA33" s="93">
        <f>(AI6-AE6)*1440</f>
        <v>0</v>
      </c>
      <c r="AB33" s="56" t="s">
        <v>143</v>
      </c>
      <c r="AC33" s="56"/>
      <c r="AD33" s="94"/>
      <c r="AE33" s="95" t="s">
        <v>144</v>
      </c>
      <c r="AF33" s="61"/>
      <c r="AG33" s="61"/>
      <c r="AH33" s="61"/>
      <c r="AI33" s="61"/>
      <c r="AJ33" s="61"/>
      <c r="AK33" s="61"/>
      <c r="AL33" s="61"/>
      <c r="AM33" s="92" t="s">
        <v>141</v>
      </c>
      <c r="AN33" s="61"/>
      <c r="AO33" s="61"/>
      <c r="AP33" s="93">
        <f>(AP6-AL6)*1440</f>
        <v>0</v>
      </c>
      <c r="AQ33" s="56" t="s">
        <v>145</v>
      </c>
      <c r="AR33" s="14"/>
    </row>
    <row r="34" spans="1:122" ht="15.75" customHeight="1" x14ac:dyDescent="0.2">
      <c r="A34" s="25"/>
      <c r="B34" s="616"/>
      <c r="C34" s="617"/>
      <c r="D34" s="617"/>
      <c r="E34" s="617"/>
      <c r="F34" s="617"/>
      <c r="G34" s="617"/>
      <c r="H34" s="617"/>
      <c r="I34" s="617"/>
      <c r="J34" s="617"/>
      <c r="K34" s="617"/>
      <c r="L34" s="617"/>
      <c r="M34" s="617"/>
      <c r="N34" s="617"/>
      <c r="O34" s="617"/>
      <c r="P34" s="617"/>
      <c r="Q34" s="617"/>
      <c r="R34" s="618"/>
      <c r="S34" s="15"/>
      <c r="T34" s="10"/>
      <c r="U34" s="379" t="s">
        <v>146</v>
      </c>
      <c r="V34" s="92" t="s">
        <v>141</v>
      </c>
      <c r="W34" s="327" t="e">
        <f>W33*75/(N20-W8)</f>
        <v>#DIV/0!</v>
      </c>
      <c r="X34" s="56" t="s">
        <v>147</v>
      </c>
      <c r="Y34" s="57"/>
      <c r="Z34" s="61"/>
      <c r="AA34" s="327" t="e">
        <f>AA33*75/(N20-AE8)</f>
        <v>#DIV/0!</v>
      </c>
      <c r="AB34" s="56" t="s">
        <v>148</v>
      </c>
      <c r="AC34" s="56"/>
      <c r="AD34" s="94"/>
      <c r="AE34" s="95" t="s">
        <v>149</v>
      </c>
      <c r="AF34" s="61"/>
      <c r="AG34" s="61"/>
      <c r="AH34" s="61"/>
      <c r="AI34" s="61"/>
      <c r="AJ34" s="61"/>
      <c r="AK34" s="61"/>
      <c r="AL34" s="61"/>
      <c r="AM34" s="92" t="s">
        <v>113</v>
      </c>
      <c r="AN34" s="61"/>
      <c r="AO34" s="61"/>
      <c r="AP34" s="434" t="e">
        <f>(4.186*((AL12-$N15+AP32)/2)*(AP8-AL8)+2260*AP31)/(AP30*$E$20)</f>
        <v>#DIV/0!</v>
      </c>
      <c r="AQ34" s="56" t="s">
        <v>150</v>
      </c>
      <c r="AR34" s="14"/>
    </row>
    <row r="35" spans="1:122" ht="15.75" customHeight="1" x14ac:dyDescent="0.2">
      <c r="A35" s="25"/>
      <c r="B35" s="613"/>
      <c r="C35" s="614"/>
      <c r="D35" s="614"/>
      <c r="E35" s="614"/>
      <c r="F35" s="614"/>
      <c r="G35" s="614"/>
      <c r="H35" s="614"/>
      <c r="I35" s="614"/>
      <c r="J35" s="614"/>
      <c r="K35" s="614"/>
      <c r="L35" s="614"/>
      <c r="M35" s="614"/>
      <c r="N35" s="614"/>
      <c r="O35" s="614"/>
      <c r="P35" s="614"/>
      <c r="Q35" s="614"/>
      <c r="R35" s="615"/>
      <c r="S35" s="15"/>
      <c r="T35" s="10"/>
      <c r="U35" s="379" t="s">
        <v>149</v>
      </c>
      <c r="V35" s="92" t="s">
        <v>113</v>
      </c>
      <c r="W35" s="434" t="e">
        <f>(4.186*SUM((W12-$N15)*(AA8-W8),(W13-$N16)*(AA9-W9),(W14-$N17)*(AA10-W10),(W15-$N18)*(AA11-W11))+2260*W31)/(W30*$E20)</f>
        <v>#DIV/0!</v>
      </c>
      <c r="X35" s="56" t="s">
        <v>151</v>
      </c>
      <c r="Y35" s="57"/>
      <c r="Z35" s="61"/>
      <c r="AA35" s="434" t="e">
        <f>(4.186*SUM((AE12-$N15)*(AI8-AE8),(AE13-$N16)*(AI9-AE9),(AE14-$N17)*(AI10-AE10),(AE15-$N18)*(AI11-AE11))+2260*AA31)/(AA30*$E20)</f>
        <v>#DIV/0!</v>
      </c>
      <c r="AB35" s="56" t="s">
        <v>152</v>
      </c>
      <c r="AC35" s="56"/>
      <c r="AD35" s="94"/>
      <c r="AE35" s="95" t="s">
        <v>153</v>
      </c>
      <c r="AF35" s="61"/>
      <c r="AG35" s="61"/>
      <c r="AH35" s="61"/>
      <c r="AI35" s="61"/>
      <c r="AJ35" s="61"/>
      <c r="AK35" s="61"/>
      <c r="AL35" s="61"/>
      <c r="AM35" s="92" t="s">
        <v>154</v>
      </c>
      <c r="AN35" s="61"/>
      <c r="AO35" s="61"/>
      <c r="AP35" s="421" t="e">
        <f>AP30/AP33</f>
        <v>#DIV/0!</v>
      </c>
      <c r="AQ35" s="56" t="s">
        <v>155</v>
      </c>
      <c r="AR35" s="14"/>
    </row>
    <row r="36" spans="1:122" ht="15.75" customHeight="1" thickBot="1" x14ac:dyDescent="0.25">
      <c r="A36" s="25"/>
      <c r="B36" s="110" t="s">
        <v>184</v>
      </c>
      <c r="C36" s="110"/>
      <c r="D36" s="110"/>
      <c r="E36" s="110"/>
      <c r="F36" s="110"/>
      <c r="G36" s="110"/>
      <c r="H36" s="110"/>
      <c r="I36" s="110"/>
      <c r="J36" s="110"/>
      <c r="K36" s="110"/>
      <c r="L36" s="110"/>
      <c r="M36" s="110"/>
      <c r="N36" s="110"/>
      <c r="O36" s="111"/>
      <c r="P36" s="111"/>
      <c r="Q36" s="111"/>
      <c r="R36" s="111"/>
      <c r="S36" s="15"/>
      <c r="T36" s="10"/>
      <c r="U36" s="379" t="s">
        <v>153</v>
      </c>
      <c r="V36" s="92" t="s">
        <v>154</v>
      </c>
      <c r="W36" s="421" t="e">
        <f>W30/W33</f>
        <v>#DIV/0!</v>
      </c>
      <c r="X36" s="92" t="s">
        <v>156</v>
      </c>
      <c r="Y36" s="57"/>
      <c r="Z36" s="61"/>
      <c r="AA36" s="421" t="e">
        <f>AA30/AA33</f>
        <v>#DIV/0!</v>
      </c>
      <c r="AB36" s="56" t="s">
        <v>157</v>
      </c>
      <c r="AC36" s="56"/>
      <c r="AD36" s="94"/>
      <c r="AE36" s="95" t="s">
        <v>158</v>
      </c>
      <c r="AF36" s="61"/>
      <c r="AG36" s="61"/>
      <c r="AH36" s="61"/>
      <c r="AI36" s="61"/>
      <c r="AJ36" s="61"/>
      <c r="AK36" s="61"/>
      <c r="AL36" s="61"/>
      <c r="AM36" s="92" t="s">
        <v>844</v>
      </c>
      <c r="AN36" s="61"/>
      <c r="AO36" s="61"/>
      <c r="AP36" s="421" t="e">
        <f>AP30/AP32*1000</f>
        <v>#DIV/0!</v>
      </c>
      <c r="AQ36" s="56" t="s">
        <v>160</v>
      </c>
      <c r="AR36" s="14"/>
    </row>
    <row r="37" spans="1:122" ht="13.5" customHeight="1" thickTop="1" thickBot="1" x14ac:dyDescent="0.25">
      <c r="A37" s="109"/>
      <c r="B37" s="249"/>
      <c r="C37" s="249"/>
      <c r="D37" s="249"/>
      <c r="E37" s="249"/>
      <c r="F37" s="249"/>
      <c r="G37" s="249"/>
      <c r="H37" s="249"/>
      <c r="I37" s="249"/>
      <c r="J37" s="249"/>
      <c r="K37" s="249"/>
      <c r="L37" s="249"/>
      <c r="M37" s="249"/>
      <c r="N37" s="249"/>
      <c r="O37" s="249"/>
      <c r="P37" s="249"/>
      <c r="Q37" s="249"/>
      <c r="R37" s="249"/>
      <c r="S37" s="112"/>
      <c r="T37" s="10"/>
      <c r="U37" s="379" t="s">
        <v>158</v>
      </c>
      <c r="V37" s="92" t="s">
        <v>845</v>
      </c>
      <c r="W37" s="435" t="e">
        <f>1000*W30/W32</f>
        <v>#DIV/0!</v>
      </c>
      <c r="X37" s="56" t="s">
        <v>161</v>
      </c>
      <c r="Y37" s="57"/>
      <c r="Z37" s="61"/>
      <c r="AA37" s="435" t="e">
        <f>1000*AA30/AA32</f>
        <v>#DIV/0!</v>
      </c>
      <c r="AB37" s="56" t="s">
        <v>162</v>
      </c>
      <c r="AC37" s="56"/>
      <c r="AD37" s="94"/>
      <c r="AE37" s="95" t="s">
        <v>163</v>
      </c>
      <c r="AF37" s="61"/>
      <c r="AG37" s="61"/>
      <c r="AH37" s="61"/>
      <c r="AI37" s="61"/>
      <c r="AJ37" s="61"/>
      <c r="AK37" s="61"/>
      <c r="AL37" s="61"/>
      <c r="AM37" s="92" t="s">
        <v>164</v>
      </c>
      <c r="AN37" s="61"/>
      <c r="AO37" s="61"/>
      <c r="AP37" s="327" t="e">
        <f>AP30*$E$20/(AP33*60)</f>
        <v>#DIV/0!</v>
      </c>
      <c r="AQ37" s="56" t="s">
        <v>165</v>
      </c>
      <c r="AR37" s="14"/>
    </row>
    <row r="38" spans="1:122" ht="15.6" customHeight="1" thickTop="1" x14ac:dyDescent="0.2">
      <c r="B38" s="118" t="str">
        <f>"TEST #5 "&amp;D7</f>
        <v xml:space="preserve">TEST #5 </v>
      </c>
      <c r="S38" s="2"/>
      <c r="T38" s="21"/>
      <c r="U38" s="379" t="s">
        <v>166</v>
      </c>
      <c r="V38" s="92" t="s">
        <v>159</v>
      </c>
      <c r="W38" s="435" t="e">
        <f>W37*75/($N$20-W8)</f>
        <v>#DIV/0!</v>
      </c>
      <c r="X38" s="56" t="s">
        <v>167</v>
      </c>
      <c r="Y38" s="57"/>
      <c r="Z38" s="61"/>
      <c r="AA38" s="435" t="e">
        <f>AA37*75/($N$20-AE8)</f>
        <v>#DIV/0!</v>
      </c>
      <c r="AB38" s="56" t="s">
        <v>168</v>
      </c>
      <c r="AC38" s="56"/>
      <c r="AD38" s="94"/>
      <c r="AE38" s="95" t="s">
        <v>169</v>
      </c>
      <c r="AF38" s="61"/>
      <c r="AG38" s="61"/>
      <c r="AH38" s="61"/>
      <c r="AI38" s="61"/>
      <c r="AJ38" s="61"/>
      <c r="AK38" s="61"/>
      <c r="AL38" s="61"/>
      <c r="AM38" s="92" t="s">
        <v>92</v>
      </c>
      <c r="AN38" s="61"/>
      <c r="AO38" s="61"/>
      <c r="AP38" s="417" t="e">
        <f>W40/AP37</f>
        <v>#DIV/0!</v>
      </c>
      <c r="AQ38" s="92" t="s">
        <v>170</v>
      </c>
      <c r="AR38" s="14"/>
    </row>
    <row r="39" spans="1:122" ht="15.6" customHeight="1" thickBot="1" x14ac:dyDescent="0.25">
      <c r="B39" s="619" t="s">
        <v>747</v>
      </c>
      <c r="C39" s="620"/>
      <c r="D39" s="620"/>
      <c r="E39" s="620"/>
      <c r="F39" s="620"/>
      <c r="G39" s="620"/>
      <c r="H39" s="620"/>
      <c r="I39" s="620"/>
      <c r="J39" s="620"/>
      <c r="K39" s="620"/>
      <c r="L39" s="620"/>
      <c r="M39" s="620"/>
      <c r="N39" s="620"/>
      <c r="O39" s="620"/>
      <c r="P39" s="620"/>
      <c r="Q39" s="620"/>
      <c r="R39" s="621"/>
      <c r="T39" s="21"/>
      <c r="U39" s="379" t="s">
        <v>171</v>
      </c>
      <c r="V39" s="92" t="s">
        <v>172</v>
      </c>
      <c r="W39" s="93" t="e">
        <f>(W38/1000)*E20</f>
        <v>#DIV/0!</v>
      </c>
      <c r="X39" s="56" t="s">
        <v>173</v>
      </c>
      <c r="Y39" s="57"/>
      <c r="Z39" s="61"/>
      <c r="AA39" s="93" t="e">
        <f>(AA38/1000)*E20</f>
        <v>#DIV/0!</v>
      </c>
      <c r="AB39" s="56" t="s">
        <v>174</v>
      </c>
      <c r="AC39" s="56"/>
      <c r="AD39" s="94"/>
      <c r="AE39" s="102" t="s">
        <v>175</v>
      </c>
      <c r="AF39" s="103"/>
      <c r="AG39" s="103"/>
      <c r="AH39" s="103"/>
      <c r="AI39" s="103"/>
      <c r="AJ39" s="103"/>
      <c r="AK39" s="103"/>
      <c r="AL39" s="103"/>
      <c r="AM39" s="104" t="s">
        <v>172</v>
      </c>
      <c r="AN39" s="103"/>
      <c r="AO39" s="103"/>
      <c r="AP39" s="105" t="e">
        <f>(AP36/1000)*E20</f>
        <v>#DIV/0!</v>
      </c>
      <c r="AQ39" s="106" t="s">
        <v>176</v>
      </c>
      <c r="AR39" s="107"/>
    </row>
    <row r="40" spans="1:122" ht="14.25" thickBot="1" x14ac:dyDescent="0.25">
      <c r="B40" s="616"/>
      <c r="C40" s="617"/>
      <c r="D40" s="617"/>
      <c r="E40" s="617"/>
      <c r="F40" s="617"/>
      <c r="G40" s="617"/>
      <c r="H40" s="617"/>
      <c r="I40" s="617"/>
      <c r="J40" s="617"/>
      <c r="K40" s="617"/>
      <c r="L40" s="617"/>
      <c r="M40" s="617"/>
      <c r="N40" s="617"/>
      <c r="O40" s="617"/>
      <c r="P40" s="617"/>
      <c r="Q40" s="617"/>
      <c r="R40" s="618"/>
      <c r="T40" s="21"/>
      <c r="U40" s="380" t="s">
        <v>163</v>
      </c>
      <c r="V40" s="115" t="s">
        <v>164</v>
      </c>
      <c r="W40" s="422" t="e">
        <f>W30*$E$20/(W33*60)</f>
        <v>#DIV/0!</v>
      </c>
      <c r="X40" s="376" t="s">
        <v>177</v>
      </c>
      <c r="Y40" s="252"/>
      <c r="Z40" s="114"/>
      <c r="AA40" s="422" t="e">
        <f>AA30*$E$20/(AA33*60)</f>
        <v>#DIV/0!</v>
      </c>
      <c r="AB40" s="376" t="s">
        <v>178</v>
      </c>
      <c r="AC40" s="376"/>
      <c r="AD40" s="253"/>
      <c r="AE40" s="3" t="s">
        <v>179</v>
      </c>
      <c r="AM40" s="3" t="s">
        <v>20</v>
      </c>
      <c r="AP40" s="388" t="e">
        <f>IF(ISERROR(AA38),5*(W38+AP36),5*(AVERAGE(W38,AA38)+AP36))</f>
        <v>#DIV/0!</v>
      </c>
      <c r="AQ40" s="108" t="s">
        <v>180</v>
      </c>
      <c r="AR40" s="14"/>
      <c r="DG40" s="1"/>
      <c r="DH40" s="1"/>
      <c r="DI40" s="1"/>
      <c r="DJ40" s="1"/>
      <c r="DK40" s="1"/>
      <c r="DL40" s="1"/>
      <c r="DM40" s="1"/>
      <c r="DN40" s="1"/>
      <c r="DO40" s="1"/>
      <c r="DP40" s="1"/>
      <c r="DQ40" s="1"/>
      <c r="DR40" s="1"/>
    </row>
    <row r="41" spans="1:122" ht="15.6" customHeight="1" thickTop="1" thickBot="1" x14ac:dyDescent="0.2">
      <c r="B41" s="616"/>
      <c r="C41" s="617"/>
      <c r="D41" s="617"/>
      <c r="E41" s="617"/>
      <c r="F41" s="617"/>
      <c r="G41" s="617"/>
      <c r="H41" s="617"/>
      <c r="I41" s="617"/>
      <c r="J41" s="617"/>
      <c r="K41" s="617"/>
      <c r="L41" s="617"/>
      <c r="M41" s="617"/>
      <c r="N41" s="617"/>
      <c r="O41" s="617"/>
      <c r="P41" s="617"/>
      <c r="Q41" s="617"/>
      <c r="R41" s="618"/>
      <c r="T41" s="13"/>
      <c r="U41" s="13"/>
      <c r="V41" s="13"/>
      <c r="W41" s="13"/>
      <c r="X41" s="13"/>
      <c r="Y41" s="8"/>
      <c r="Z41" s="8"/>
      <c r="AA41" s="8"/>
      <c r="AB41" s="13"/>
      <c r="AC41" s="8"/>
      <c r="AD41" s="384"/>
      <c r="AE41" s="114" t="s">
        <v>181</v>
      </c>
      <c r="AF41" s="114"/>
      <c r="AG41" s="114"/>
      <c r="AH41" s="114"/>
      <c r="AI41" s="114"/>
      <c r="AJ41" s="114"/>
      <c r="AK41" s="114"/>
      <c r="AL41" s="114"/>
      <c r="AM41" s="114" t="s">
        <v>182</v>
      </c>
      <c r="AN41" s="114"/>
      <c r="AO41" s="114"/>
      <c r="AP41" s="254" t="e">
        <f>(AP40/1000)*E20</f>
        <v>#DIV/0!</v>
      </c>
      <c r="AQ41" s="115" t="s">
        <v>183</v>
      </c>
      <c r="AR41" s="116"/>
      <c r="DG41" s="1"/>
      <c r="DH41" s="1"/>
      <c r="DI41" s="1"/>
      <c r="DJ41" s="1"/>
      <c r="DK41" s="1"/>
      <c r="DL41" s="1"/>
      <c r="DM41" s="1"/>
      <c r="DN41" s="1"/>
      <c r="DO41" s="1"/>
      <c r="DP41" s="1"/>
      <c r="DQ41" s="1"/>
      <c r="DR41" s="1"/>
    </row>
    <row r="42" spans="1:122" ht="15.6" customHeight="1" thickTop="1" thickBot="1" x14ac:dyDescent="0.2">
      <c r="B42" s="616"/>
      <c r="C42" s="617"/>
      <c r="D42" s="617"/>
      <c r="E42" s="617"/>
      <c r="F42" s="617"/>
      <c r="G42" s="617"/>
      <c r="H42" s="617"/>
      <c r="I42" s="617"/>
      <c r="J42" s="617"/>
      <c r="K42" s="617"/>
      <c r="L42" s="617"/>
      <c r="M42" s="617"/>
      <c r="N42" s="617"/>
      <c r="O42" s="617"/>
      <c r="P42" s="617"/>
      <c r="Q42" s="617"/>
      <c r="R42" s="618"/>
      <c r="U42" s="387" t="s">
        <v>966</v>
      </c>
      <c r="W42" s="108">
        <v>1</v>
      </c>
      <c r="DG42" s="1"/>
      <c r="DH42" s="1"/>
      <c r="DI42" s="1"/>
      <c r="DJ42" s="1"/>
      <c r="DK42" s="1"/>
      <c r="DL42" s="1"/>
      <c r="DM42" s="1"/>
      <c r="DN42" s="1"/>
      <c r="DO42" s="1"/>
      <c r="DP42" s="1"/>
      <c r="DQ42" s="1"/>
      <c r="DR42" s="1"/>
    </row>
    <row r="43" spans="1:122" ht="15.6" customHeight="1" thickTop="1" x14ac:dyDescent="0.15">
      <c r="B43" s="616"/>
      <c r="C43" s="617"/>
      <c r="D43" s="617"/>
      <c r="E43" s="617"/>
      <c r="F43" s="617"/>
      <c r="G43" s="617"/>
      <c r="H43" s="617"/>
      <c r="I43" s="617"/>
      <c r="J43" s="617"/>
      <c r="K43" s="617"/>
      <c r="L43" s="617"/>
      <c r="M43" s="617"/>
      <c r="N43" s="617"/>
      <c r="O43" s="617"/>
      <c r="P43" s="617"/>
      <c r="Q43" s="617"/>
      <c r="R43" s="618"/>
      <c r="U43" s="283" t="s">
        <v>952</v>
      </c>
      <c r="V43" s="284"/>
      <c r="W43" s="285"/>
      <c r="X43" s="410"/>
      <c r="Y43" s="287"/>
      <c r="Z43" s="287"/>
      <c r="AA43" s="287"/>
      <c r="AB43" s="287"/>
      <c r="AC43" s="287"/>
      <c r="AD43" s="287"/>
      <c r="AE43" s="285" t="s">
        <v>88</v>
      </c>
      <c r="AF43" s="288" t="s">
        <v>866</v>
      </c>
      <c r="DG43" s="1"/>
      <c r="DH43" s="1"/>
      <c r="DI43" s="1"/>
      <c r="DJ43" s="1"/>
      <c r="DK43" s="1"/>
      <c r="DL43" s="1"/>
      <c r="DM43" s="1"/>
      <c r="DN43" s="1"/>
      <c r="DO43" s="1"/>
      <c r="DP43" s="1"/>
      <c r="DQ43" s="1"/>
      <c r="DR43" s="1"/>
    </row>
    <row r="44" spans="1:122" ht="15.6" customHeight="1" x14ac:dyDescent="0.15">
      <c r="B44" s="616"/>
      <c r="C44" s="617"/>
      <c r="D44" s="617"/>
      <c r="E44" s="617"/>
      <c r="F44" s="617"/>
      <c r="G44" s="617"/>
      <c r="H44" s="617"/>
      <c r="I44" s="617"/>
      <c r="J44" s="617"/>
      <c r="K44" s="617"/>
      <c r="L44" s="617"/>
      <c r="M44" s="617"/>
      <c r="N44" s="617"/>
      <c r="O44" s="617"/>
      <c r="P44" s="617"/>
      <c r="Q44" s="617"/>
      <c r="R44" s="618"/>
      <c r="U44" s="289" t="s">
        <v>851</v>
      </c>
      <c r="V44" s="290"/>
      <c r="AB44" s="22" t="s">
        <v>113</v>
      </c>
      <c r="AE44" s="396" t="e">
        <f>IF(AA33=0,W35,(W35+AA35)/2)</f>
        <v>#DIV/0!</v>
      </c>
      <c r="AF44" s="423" t="e">
        <f>IF(AE44=0,"-",IF(AE44&lt;Lists!E15,"0",IF(AE44&lt;Lists!I15,1,IF(AE44&lt;Lists!K15,2,IF(AE44&lt;Lists!M15,3,4)))))</f>
        <v>#DIV/0!</v>
      </c>
      <c r="DG44" s="1"/>
      <c r="DH44" s="1"/>
      <c r="DI44" s="1"/>
      <c r="DJ44" s="1"/>
      <c r="DK44" s="1"/>
      <c r="DL44" s="1"/>
      <c r="DM44" s="1"/>
      <c r="DN44" s="1"/>
      <c r="DO44" s="1"/>
      <c r="DP44" s="1"/>
      <c r="DQ44" s="1"/>
      <c r="DR44" s="1"/>
    </row>
    <row r="45" spans="1:122" ht="15.6" customHeight="1" x14ac:dyDescent="0.15">
      <c r="B45" s="616"/>
      <c r="C45" s="617"/>
      <c r="D45" s="617"/>
      <c r="E45" s="617"/>
      <c r="F45" s="617"/>
      <c r="G45" s="617"/>
      <c r="H45" s="617"/>
      <c r="I45" s="617"/>
      <c r="J45" s="617"/>
      <c r="K45" s="617"/>
      <c r="L45" s="617"/>
      <c r="M45" s="617"/>
      <c r="N45" s="617"/>
      <c r="O45" s="617"/>
      <c r="P45" s="617"/>
      <c r="Q45" s="617"/>
      <c r="R45" s="618"/>
      <c r="U45" s="289" t="s">
        <v>958</v>
      </c>
      <c r="V45" s="290"/>
      <c r="AB45" s="22" t="s">
        <v>959</v>
      </c>
      <c r="AE45" s="403" t="e">
        <f>AP30*'General Information'!L22/(AP32*AP33*1000)</f>
        <v>#DIV/0!</v>
      </c>
      <c r="AF45" s="424" t="e">
        <f>IF(AE45&gt;Lists!E16,"0",IF(AE45&gt;Lists!I16,1,IF(AE45&gt;Lists!K16,2,IF(AE45&gt;Lists!M16,3,4))))</f>
        <v>#DIV/0!</v>
      </c>
    </row>
    <row r="46" spans="1:122" ht="15.6" customHeight="1" x14ac:dyDescent="0.15">
      <c r="B46" s="616"/>
      <c r="C46" s="617"/>
      <c r="D46" s="617"/>
      <c r="E46" s="617"/>
      <c r="F46" s="617"/>
      <c r="G46" s="617"/>
      <c r="H46" s="617"/>
      <c r="I46" s="617"/>
      <c r="J46" s="617"/>
      <c r="K46" s="617"/>
      <c r="L46" s="617"/>
      <c r="M46" s="617"/>
      <c r="N46" s="617"/>
      <c r="O46" s="617"/>
      <c r="P46" s="617"/>
      <c r="Q46" s="617"/>
      <c r="R46" s="618"/>
      <c r="U46" s="289" t="s">
        <v>854</v>
      </c>
      <c r="V46" s="290"/>
      <c r="AB46" s="22" t="s">
        <v>960</v>
      </c>
      <c r="AE46" s="402" t="e">
        <f>IF(W42=3,IF(AA33=0,1000000/'General Information'!L22*AA23/(W35*W30),1000000/'General Information'!L22*(AA23/(W35*W30)+AI23/(AA35*AA30))/2),IF(W42=1,IF(AA33=0,1000000/'General Information'!L22*W70/(W35*W30),1000000/'General Information'!L22*(W70/(W35*W30)+AA70/(AA35*AA30))/2),IF(AA33=0,1000000/'General Information'!L22*W74/(W35*W30),1000000/'General Information'!L22*(W74/(W35*W30)+AA74/(AA35*AA30))/2)))</f>
        <v>#DIV/0!</v>
      </c>
      <c r="AF46" s="424" t="e">
        <f xml:space="preserve"> IF(AE46&gt;Lists!E17,"0",IF(AE46&gt;Lists!I17,1,IF(AE46&gt;Lists!K17,2,IF(AE46&gt;Lists!M17,3,4))))</f>
        <v>#DIV/0!</v>
      </c>
    </row>
    <row r="47" spans="1:122" ht="15.6" customHeight="1" x14ac:dyDescent="0.15">
      <c r="B47" s="616"/>
      <c r="C47" s="617"/>
      <c r="D47" s="617"/>
      <c r="E47" s="617"/>
      <c r="F47" s="617"/>
      <c r="G47" s="617"/>
      <c r="H47" s="617"/>
      <c r="I47" s="617"/>
      <c r="J47" s="617"/>
      <c r="K47" s="617"/>
      <c r="L47" s="617"/>
      <c r="M47" s="617"/>
      <c r="N47" s="617"/>
      <c r="O47" s="617"/>
      <c r="P47" s="617"/>
      <c r="Q47" s="617"/>
      <c r="R47" s="618"/>
      <c r="U47" s="289" t="s">
        <v>856</v>
      </c>
      <c r="V47" s="290"/>
      <c r="AB47" s="22" t="s">
        <v>961</v>
      </c>
      <c r="AE47" s="403" t="e">
        <f>IF(W42=3,AP23/(AP33*AP32)*1000,IF(W42=1,AE70/(AP33*AP32)*1000,AE74/(AP33*AP32)*1000))</f>
        <v>#DIV/0!</v>
      </c>
      <c r="AF47" s="424" t="e">
        <f>IF(AE47&gt;Lists!E18,"0",IF(AE47&gt;Lists!I18,1,IF(AE47&gt;Lists!K18,2,IF(AE47&gt;Lists!M18,3,4))))</f>
        <v>#DIV/0!</v>
      </c>
    </row>
    <row r="48" spans="1:122" ht="15.6" customHeight="1" x14ac:dyDescent="0.15">
      <c r="B48" s="613"/>
      <c r="C48" s="614"/>
      <c r="D48" s="614"/>
      <c r="E48" s="614"/>
      <c r="F48" s="614"/>
      <c r="G48" s="614"/>
      <c r="H48" s="614"/>
      <c r="I48" s="614"/>
      <c r="J48" s="614"/>
      <c r="K48" s="614"/>
      <c r="L48" s="614"/>
      <c r="M48" s="614"/>
      <c r="N48" s="614"/>
      <c r="O48" s="614"/>
      <c r="P48" s="614"/>
      <c r="Q48" s="614"/>
      <c r="R48" s="615"/>
      <c r="U48" s="289" t="s">
        <v>858</v>
      </c>
      <c r="V48" s="290"/>
      <c r="AB48" s="22" t="s">
        <v>962</v>
      </c>
      <c r="AE48" s="404" t="e">
        <f>IF(W42=3,IF(AA33=0,10^9/'General Information'!L22*AA24/(W35*W30),10^9/'General Information'!L22*(AA24/(W35*W30)+AI24/(AA35*AA30))/2),IF(W42=1,IF(AA33=0,10^9/'General Information'!L22*W71/(W35*W30),10^9/'General Information'!L22*(W71/(W35*W30)+AA71/(AA35*AA30))/2),IF(AA33=0,10^9/'General Information'!L22*W75/(W35*W30),10^9/'General Information'!L22*(W75/(W35*W30)+AA75/(AA35*AA30))/2)))</f>
        <v>#DIV/0!</v>
      </c>
      <c r="AF48" s="424" t="e">
        <f>IF(AE48&gt;Lists!E19,"0",IF(AE48&gt;Lists!I19,1,IF(AE48&gt;Lists!K19,2,IF(AE48&gt;Lists!M19,3,4))))</f>
        <v>#DIV/0!</v>
      </c>
    </row>
    <row r="49" spans="2:35" ht="15.6" customHeight="1" x14ac:dyDescent="0.15">
      <c r="C49" s="1"/>
      <c r="H49" s="1"/>
      <c r="I49" s="1"/>
      <c r="J49" s="1"/>
      <c r="K49" s="1"/>
      <c r="L49" s="1"/>
      <c r="M49" s="1"/>
      <c r="N49" s="1"/>
      <c r="O49" s="1"/>
      <c r="P49" s="1"/>
      <c r="Q49" s="1"/>
      <c r="R49" s="1"/>
      <c r="U49" s="289" t="s">
        <v>860</v>
      </c>
      <c r="V49" s="290"/>
      <c r="AB49" s="22" t="s">
        <v>963</v>
      </c>
      <c r="AE49" s="397" t="e">
        <f>IF(W42=3,AP24/(AP33*AP32)*1000000,IF(W42=1,AE71/(AP33*AP32)*1000000,AE75/(AP33*AP32)*1000000))</f>
        <v>#DIV/0!</v>
      </c>
      <c r="AF49" s="424" t="e">
        <f>IF(AE49&gt;Lists!E20,"0",IF(AE49&gt;Lists!I20,1,IF(AE49&gt;Lists!K20,2,IF(AE49&gt;Lists!M20,3,4))))</f>
        <v>#DIV/0!</v>
      </c>
    </row>
    <row r="50" spans="2:35" ht="15.6" customHeight="1" x14ac:dyDescent="0.15">
      <c r="B50" s="619" t="s">
        <v>802</v>
      </c>
      <c r="C50" s="620"/>
      <c r="D50" s="620"/>
      <c r="E50" s="620"/>
      <c r="F50" s="620"/>
      <c r="G50" s="620"/>
      <c r="H50" s="620"/>
      <c r="I50" s="620"/>
      <c r="J50" s="620"/>
      <c r="K50" s="620"/>
      <c r="L50" s="620"/>
      <c r="M50" s="620"/>
      <c r="N50" s="620"/>
      <c r="O50" s="620"/>
      <c r="P50" s="620"/>
      <c r="Q50" s="620"/>
      <c r="R50" s="621"/>
      <c r="U50" s="289" t="s">
        <v>879</v>
      </c>
      <c r="V50" s="290"/>
      <c r="AB50" s="22" t="s">
        <v>154</v>
      </c>
      <c r="AE50" s="397" t="e">
        <f>IF(W42=3,IF(IF(AA33=0,AA23/W33,(AA23/W33+AI23/AA33)/2)&lt;(AP23/AP33),AP23/AP33,IF(AA33=0,AA23/W33,(AA23/W33+AI23/AA33)/2)),IF(W42=1,IF(IF(AA33=0,W70/W33,(W70/W33+AA70/AA33)/2)&lt;(AE70/AP33),AE70/AP33,IF(AA33=0,W70/W33,(W70/W33+AA70/AA33)/2)),IF(IF(AA33=0,W74/W33,(W74/W33+AA74/AA33)/2)&lt;(AE74/AP33),AE74/AP33,IF(AA33=0,W74/W33,(W74/W33+AA74/AA33)/2))))</f>
        <v>#DIV/0!</v>
      </c>
      <c r="AF50" s="424" t="e">
        <f>IF(AE50&gt;Lists!E21,"0",IF(AE50&gt;Lists!I21,1,IF(AE50&gt;Lists!K21,2,IF(AE50&gt;Lists!M21,3,4))))</f>
        <v>#DIV/0!</v>
      </c>
    </row>
    <row r="51" spans="2:35" ht="15.6" customHeight="1" thickBot="1" x14ac:dyDescent="0.2">
      <c r="B51" s="616"/>
      <c r="C51" s="617"/>
      <c r="D51" s="617"/>
      <c r="E51" s="617"/>
      <c r="F51" s="617"/>
      <c r="G51" s="617"/>
      <c r="H51" s="617"/>
      <c r="I51" s="617"/>
      <c r="J51" s="617"/>
      <c r="K51" s="617"/>
      <c r="L51" s="617"/>
      <c r="M51" s="617"/>
      <c r="N51" s="617"/>
      <c r="O51" s="617"/>
      <c r="P51" s="617"/>
      <c r="Q51" s="617"/>
      <c r="R51" s="618"/>
      <c r="U51" s="291" t="s">
        <v>878</v>
      </c>
      <c r="V51" s="292"/>
      <c r="W51" s="269"/>
      <c r="X51" s="269"/>
      <c r="Y51" s="269"/>
      <c r="Z51" s="269"/>
      <c r="AA51" s="269"/>
      <c r="AB51" s="270" t="s">
        <v>864</v>
      </c>
      <c r="AC51" s="269"/>
      <c r="AD51" s="269"/>
      <c r="AE51" s="405" t="e">
        <f>IF(W42=3,IF(IF(AA33=0,AA24/W33,(AA24/W33+AI24/AA33)/2)&lt;(AP24/AP33),AP24/AP33*1000,IF(AA33=0,AA24/W33,(AA24/W33+AI24/AA33)/2)*1000),IF(W42=1,IF(IF(AA33=0,W71/W33,(W71/W33+AA71/AA33)/2)&lt;(AE71/AP33),AE71/AP33*1000,IF(AA33=0,W71/W33,(W71/W33+AA71/AA33)/2)*1000),IF(IF(AA33=0,W75/W33,(W75/W33+AA75/AA33)/2)&lt;(AE75/AP33),AE75/AP33*1000,IF(AA33=0,W75/W33,(W75/W33+AA75/AA33)/2)*1000)))</f>
        <v>#DIV/0!</v>
      </c>
      <c r="AF51" s="425" t="e">
        <f>IF(AE51&gt;Lists!E22,"0",IF(AE51&gt;Lists!I22,1,IF(AE51&gt;Lists!K22,2,IF(AE51&gt;Lists!M22,3,4))))</f>
        <v>#DIV/0!</v>
      </c>
      <c r="AI51" s="13"/>
    </row>
    <row r="52" spans="2:35" ht="15.6" customHeight="1" thickTop="1" thickBot="1" x14ac:dyDescent="0.2">
      <c r="B52" s="616"/>
      <c r="C52" s="617"/>
      <c r="D52" s="617"/>
      <c r="E52" s="617"/>
      <c r="F52" s="617"/>
      <c r="G52" s="617"/>
      <c r="H52" s="617"/>
      <c r="I52" s="617"/>
      <c r="J52" s="617"/>
      <c r="K52" s="617"/>
      <c r="L52" s="617"/>
      <c r="M52" s="617"/>
      <c r="N52" s="617"/>
      <c r="O52" s="617"/>
      <c r="P52" s="617"/>
      <c r="Q52" s="617"/>
      <c r="R52" s="618"/>
      <c r="U52" s="118" t="str">
        <f>"TEST #5 "&amp;D7</f>
        <v xml:space="preserve">TEST #5 </v>
      </c>
      <c r="V52" s="86" t="s">
        <v>804</v>
      </c>
      <c r="AI52" s="13"/>
    </row>
    <row r="53" spans="2:35" ht="15.6" customHeight="1" thickTop="1" x14ac:dyDescent="0.15">
      <c r="B53" s="616"/>
      <c r="C53" s="617"/>
      <c r="D53" s="617"/>
      <c r="E53" s="617"/>
      <c r="F53" s="617"/>
      <c r="G53" s="617"/>
      <c r="H53" s="617"/>
      <c r="I53" s="617"/>
      <c r="J53" s="617"/>
      <c r="K53" s="617"/>
      <c r="L53" s="617"/>
      <c r="M53" s="617"/>
      <c r="N53" s="617"/>
      <c r="O53" s="617"/>
      <c r="P53" s="617"/>
      <c r="Q53" s="617"/>
      <c r="R53" s="618"/>
      <c r="T53" s="7"/>
      <c r="U53" s="8"/>
      <c r="V53" s="8"/>
      <c r="W53" s="260" t="s">
        <v>110</v>
      </c>
      <c r="X53" s="8"/>
      <c r="Y53" s="261"/>
      <c r="Z53" s="8"/>
      <c r="AA53" s="260" t="s">
        <v>111</v>
      </c>
      <c r="AB53" s="8"/>
      <c r="AC53" s="261"/>
      <c r="AD53" s="8"/>
      <c r="AE53" s="260" t="s">
        <v>2</v>
      </c>
      <c r="AF53" s="8"/>
      <c r="AG53" s="146"/>
      <c r="AH53" s="146"/>
      <c r="AI53" s="271"/>
    </row>
    <row r="54" spans="2:35" ht="15.6" customHeight="1" x14ac:dyDescent="0.15">
      <c r="B54" s="616"/>
      <c r="C54" s="617"/>
      <c r="D54" s="617"/>
      <c r="E54" s="617"/>
      <c r="F54" s="617"/>
      <c r="G54" s="617"/>
      <c r="H54" s="617"/>
      <c r="I54" s="617"/>
      <c r="J54" s="617"/>
      <c r="K54" s="617"/>
      <c r="L54" s="617"/>
      <c r="M54" s="617"/>
      <c r="N54" s="617"/>
      <c r="O54" s="617"/>
      <c r="P54" s="617"/>
      <c r="Q54" s="617"/>
      <c r="R54" s="618"/>
      <c r="T54" s="10"/>
      <c r="U54" s="88" t="s">
        <v>116</v>
      </c>
      <c r="V54" s="89" t="s">
        <v>9</v>
      </c>
      <c r="W54" s="89" t="s">
        <v>10</v>
      </c>
      <c r="X54" s="89" t="s">
        <v>11</v>
      </c>
      <c r="Y54" s="46"/>
      <c r="Z54" s="13"/>
      <c r="AA54" s="89" t="s">
        <v>10</v>
      </c>
      <c r="AB54" s="89" t="s">
        <v>11</v>
      </c>
      <c r="AC54" s="46"/>
      <c r="AD54" s="13"/>
      <c r="AE54" s="89" t="s">
        <v>10</v>
      </c>
      <c r="AF54" s="89" t="s">
        <v>11</v>
      </c>
      <c r="AG54" s="71"/>
      <c r="AH54" s="71"/>
      <c r="AI54" s="271"/>
    </row>
    <row r="55" spans="2:35" ht="15.6" customHeight="1" x14ac:dyDescent="0.3">
      <c r="B55" s="616"/>
      <c r="C55" s="617"/>
      <c r="D55" s="617"/>
      <c r="E55" s="617"/>
      <c r="F55" s="617"/>
      <c r="G55" s="617"/>
      <c r="H55" s="617"/>
      <c r="I55" s="617"/>
      <c r="J55" s="617"/>
      <c r="K55" s="617"/>
      <c r="L55" s="617"/>
      <c r="M55" s="617"/>
      <c r="N55" s="617"/>
      <c r="O55" s="617"/>
      <c r="P55" s="617"/>
      <c r="Q55" s="617"/>
      <c r="R55" s="618"/>
      <c r="T55" s="10"/>
      <c r="U55" s="91" t="s">
        <v>805</v>
      </c>
      <c r="V55" s="92" t="s">
        <v>806</v>
      </c>
      <c r="W55" s="427">
        <f>'General Information'!$C$24*W33/60</f>
        <v>0</v>
      </c>
      <c r="X55" s="350" t="s">
        <v>884</v>
      </c>
      <c r="Y55" s="57"/>
      <c r="Z55" s="61"/>
      <c r="AA55" s="426">
        <f>'General Information'!$C$24*AA33/60</f>
        <v>0</v>
      </c>
      <c r="AB55" s="351" t="s">
        <v>885</v>
      </c>
      <c r="AC55" s="46"/>
      <c r="AD55" s="13"/>
      <c r="AE55" s="426">
        <f>'General Information'!$C$24*AP33/60</f>
        <v>0</v>
      </c>
      <c r="AF55" s="351" t="s">
        <v>886</v>
      </c>
      <c r="AG55" s="71"/>
      <c r="AH55" s="71"/>
      <c r="AI55" s="271"/>
    </row>
    <row r="56" spans="2:35" ht="15.6" customHeight="1" x14ac:dyDescent="0.3">
      <c r="B56" s="616"/>
      <c r="C56" s="617"/>
      <c r="D56" s="617"/>
      <c r="E56" s="617"/>
      <c r="F56" s="617"/>
      <c r="G56" s="617"/>
      <c r="H56" s="617"/>
      <c r="I56" s="617"/>
      <c r="J56" s="617"/>
      <c r="K56" s="617"/>
      <c r="L56" s="617"/>
      <c r="M56" s="617"/>
      <c r="N56" s="617"/>
      <c r="O56" s="617"/>
      <c r="P56" s="617"/>
      <c r="Q56" s="617"/>
      <c r="R56" s="618"/>
      <c r="T56" s="10"/>
      <c r="U56" s="91" t="s">
        <v>814</v>
      </c>
      <c r="V56" s="92" t="s">
        <v>781</v>
      </c>
      <c r="W56" s="421" t="e">
        <f>((AA18-$N21)+(AA19-$N22)+(AA20-$N23)/15/('General Information'!$C$22/0.008314/(AA21+273.15)))</f>
        <v>#DIV/0!</v>
      </c>
      <c r="X56" s="350" t="s">
        <v>887</v>
      </c>
      <c r="Y56" s="57"/>
      <c r="Z56" s="61"/>
      <c r="AA56" s="429" t="e">
        <f>((AI18-$N21)+(AI19-$N22)+(AI20-$N23)/15/('General Information'!$C$22/0.008314/(AI21+273.15)))</f>
        <v>#DIV/0!</v>
      </c>
      <c r="AB56" s="351" t="s">
        <v>888</v>
      </c>
      <c r="AC56" s="57"/>
      <c r="AD56" s="13"/>
      <c r="AE56" s="429" t="e">
        <f>((AP18-$N21)+(AP19-$N22)+(AP20-$N23)/15/('General Information'!$C$22/0.008314/(AP21+273.15)))</f>
        <v>#DIV/0!</v>
      </c>
      <c r="AF56" s="351" t="s">
        <v>889</v>
      </c>
      <c r="AG56" s="71"/>
      <c r="AH56" s="71"/>
      <c r="AI56" s="271"/>
    </row>
    <row r="57" spans="2:35" ht="15.6" customHeight="1" x14ac:dyDescent="0.3">
      <c r="B57" s="616"/>
      <c r="C57" s="617"/>
      <c r="D57" s="617"/>
      <c r="E57" s="617"/>
      <c r="F57" s="617"/>
      <c r="G57" s="617"/>
      <c r="H57" s="617"/>
      <c r="I57" s="617"/>
      <c r="J57" s="617"/>
      <c r="K57" s="617"/>
      <c r="L57" s="617"/>
      <c r="M57" s="617"/>
      <c r="N57" s="617"/>
      <c r="O57" s="617"/>
      <c r="P57" s="617"/>
      <c r="Q57" s="617"/>
      <c r="R57" s="618"/>
      <c r="T57" s="10"/>
      <c r="U57" s="91" t="s">
        <v>807</v>
      </c>
      <c r="V57" s="92" t="s">
        <v>808</v>
      </c>
      <c r="W57" s="395" t="e">
        <f>'General Information'!$C$22/0.008314/(AA21+273.15)*W56*0.000001*12</f>
        <v>#DIV/0!</v>
      </c>
      <c r="X57" s="350" t="s">
        <v>890</v>
      </c>
      <c r="Y57" s="57"/>
      <c r="Z57" s="61"/>
      <c r="AA57" s="392" t="e">
        <f>'General Information'!$C$22/0.008314/(AI21+273.15)*AA56*0.000001*12</f>
        <v>#DIV/0!</v>
      </c>
      <c r="AB57" s="351" t="s">
        <v>891</v>
      </c>
      <c r="AC57" s="57"/>
      <c r="AD57" s="13"/>
      <c r="AE57" s="392" t="e">
        <f>'General Information'!$C$22/0.008314/(AP21+273.15)*AE56*0.000001*12</f>
        <v>#DIV/0!</v>
      </c>
      <c r="AF57" s="351" t="s">
        <v>892</v>
      </c>
      <c r="AG57" s="71"/>
      <c r="AH57" s="71"/>
      <c r="AI57" s="271"/>
    </row>
    <row r="58" spans="2:35" ht="15.6" customHeight="1" x14ac:dyDescent="0.15">
      <c r="B58" s="616"/>
      <c r="C58" s="617"/>
      <c r="D58" s="617"/>
      <c r="E58" s="617"/>
      <c r="F58" s="617"/>
      <c r="G58" s="617"/>
      <c r="H58" s="617"/>
      <c r="I58" s="617"/>
      <c r="J58" s="617"/>
      <c r="K58" s="617"/>
      <c r="L58" s="617"/>
      <c r="M58" s="617"/>
      <c r="N58" s="617"/>
      <c r="O58" s="617"/>
      <c r="P58" s="617"/>
      <c r="Q58" s="617"/>
      <c r="R58" s="618"/>
      <c r="T58" s="10"/>
      <c r="U58" s="91" t="s">
        <v>877</v>
      </c>
      <c r="V58" s="92" t="s">
        <v>20</v>
      </c>
      <c r="W58" s="93" t="e">
        <f>W57*W55/fuelFracC</f>
        <v>#DIV/0!</v>
      </c>
      <c r="X58" s="351" t="s">
        <v>893</v>
      </c>
      <c r="Y58" s="57"/>
      <c r="Z58" s="61"/>
      <c r="AA58" s="392" t="e">
        <f>AA57*AA55/fuelFracC</f>
        <v>#DIV/0!</v>
      </c>
      <c r="AB58" s="351" t="s">
        <v>894</v>
      </c>
      <c r="AC58" s="57"/>
      <c r="AD58" s="13"/>
      <c r="AE58" s="392" t="e">
        <f>AE57*AE55/fuelFracC</f>
        <v>#DIV/0!</v>
      </c>
      <c r="AF58" s="351" t="s">
        <v>895</v>
      </c>
      <c r="AG58" s="13"/>
      <c r="AH58" s="13"/>
      <c r="AI58" s="271"/>
    </row>
    <row r="59" spans="2:35" ht="15.6" customHeight="1" x14ac:dyDescent="0.15">
      <c r="B59" s="613"/>
      <c r="C59" s="614"/>
      <c r="D59" s="614"/>
      <c r="E59" s="614"/>
      <c r="F59" s="614"/>
      <c r="G59" s="614"/>
      <c r="H59" s="614"/>
      <c r="I59" s="614"/>
      <c r="J59" s="614"/>
      <c r="K59" s="614"/>
      <c r="L59" s="614"/>
      <c r="M59" s="614"/>
      <c r="N59" s="614"/>
      <c r="O59" s="614"/>
      <c r="P59" s="614"/>
      <c r="Q59" s="614"/>
      <c r="R59" s="615"/>
      <c r="T59" s="10"/>
      <c r="U59" s="13" t="s">
        <v>824</v>
      </c>
      <c r="V59" s="22" t="s">
        <v>113</v>
      </c>
      <c r="W59" s="431" t="e">
        <f>W58/((1-$E$18)*(W28)-W29*charFracC/'General Information'!L23)</f>
        <v>#DIV/0!</v>
      </c>
      <c r="X59" s="351" t="s">
        <v>896</v>
      </c>
      <c r="Y59" s="334"/>
      <c r="Z59" s="335"/>
      <c r="AA59" s="430" t="e">
        <f>AA58/((1-$E$18)*(AA28)-AA29*charFracC/'General Information'!L23)</f>
        <v>#DIV/0!</v>
      </c>
      <c r="AB59" s="351" t="s">
        <v>897</v>
      </c>
      <c r="AC59" s="334"/>
      <c r="AD59" s="336"/>
      <c r="AE59" s="430" t="e">
        <f>AE58/((1-$E$18)*(AP28)-AP29*charFracC/'General Information'!L23)</f>
        <v>#DIV/0!</v>
      </c>
      <c r="AF59" s="351" t="s">
        <v>898</v>
      </c>
      <c r="AG59" s="13"/>
      <c r="AH59" s="13"/>
      <c r="AI59" s="271"/>
    </row>
    <row r="60" spans="2:35" ht="15.6" customHeight="1" x14ac:dyDescent="0.15">
      <c r="T60" s="10"/>
      <c r="U60" s="262" t="s">
        <v>813</v>
      </c>
      <c r="V60" s="13"/>
      <c r="W60" s="312"/>
      <c r="X60" s="56"/>
      <c r="Y60" s="57"/>
      <c r="Z60" s="61"/>
      <c r="AA60" s="2"/>
      <c r="AB60" s="22"/>
      <c r="AC60" s="57"/>
      <c r="AD60" s="13"/>
      <c r="AE60" s="312"/>
      <c r="AF60" s="22"/>
      <c r="AG60" s="22"/>
      <c r="AH60" s="13"/>
      <c r="AI60" s="271"/>
    </row>
    <row r="61" spans="2:35" ht="15.6" customHeight="1" x14ac:dyDescent="0.15">
      <c r="B61" s="619" t="s">
        <v>803</v>
      </c>
      <c r="C61" s="620"/>
      <c r="D61" s="620"/>
      <c r="E61" s="620"/>
      <c r="F61" s="620"/>
      <c r="G61" s="620"/>
      <c r="H61" s="620"/>
      <c r="I61" s="620"/>
      <c r="J61" s="620"/>
      <c r="K61" s="620"/>
      <c r="L61" s="620"/>
      <c r="M61" s="620"/>
      <c r="N61" s="620"/>
      <c r="O61" s="620"/>
      <c r="P61" s="620"/>
      <c r="Q61" s="620"/>
      <c r="R61" s="621"/>
      <c r="T61" s="10"/>
      <c r="U61" s="13" t="s">
        <v>812</v>
      </c>
      <c r="V61" s="22" t="s">
        <v>159</v>
      </c>
      <c r="W61" s="432" t="e">
        <f>IF($W$42=3,AA22/W$32*1000,IF($W$42=1,W69/W$32*1000,W73/W$32*1000))</f>
        <v>#DIV/0!</v>
      </c>
      <c r="X61" s="356" t="s">
        <v>919</v>
      </c>
      <c r="Y61" s="329"/>
      <c r="Z61" s="330"/>
      <c r="AA61" s="432" t="e">
        <f>IF($W$42=3,AI22/AA$32*1000,IF($W$42=1,AA69/AA$32*1000,AA73/AA$32*1000))</f>
        <v>#DIV/0!</v>
      </c>
      <c r="AB61" s="356" t="s">
        <v>920</v>
      </c>
      <c r="AC61" s="329"/>
      <c r="AD61" s="357"/>
      <c r="AE61" s="432" t="e">
        <f>IF($W$42=3,AP22/AP$32*1000,IF($W$42=1,AE69/AP$32*1000,AE73/AP$32*1000))</f>
        <v>#DIV/0!</v>
      </c>
      <c r="AF61" s="351" t="s">
        <v>921</v>
      </c>
      <c r="AG61" s="22"/>
      <c r="AH61" s="13"/>
      <c r="AI61" s="271"/>
    </row>
    <row r="62" spans="2:35" ht="15.6" customHeight="1" x14ac:dyDescent="0.15">
      <c r="B62" s="616"/>
      <c r="C62" s="617"/>
      <c r="D62" s="617"/>
      <c r="E62" s="617"/>
      <c r="F62" s="617"/>
      <c r="G62" s="617"/>
      <c r="H62" s="617"/>
      <c r="I62" s="617"/>
      <c r="J62" s="617"/>
      <c r="K62" s="617"/>
      <c r="L62" s="617"/>
      <c r="M62" s="617"/>
      <c r="N62" s="617"/>
      <c r="O62" s="617"/>
      <c r="P62" s="617"/>
      <c r="Q62" s="617"/>
      <c r="R62" s="618"/>
      <c r="T62" s="10"/>
      <c r="U62" s="13" t="s">
        <v>810</v>
      </c>
      <c r="V62" s="22" t="s">
        <v>159</v>
      </c>
      <c r="W62" s="406" t="e">
        <f>IF($W$42=3,AA23/W$32*1000,IF($W$42=1,W70/W$32*1000,W74/W$32*1000))</f>
        <v>#DIV/0!</v>
      </c>
      <c r="X62" s="358" t="s">
        <v>922</v>
      </c>
      <c r="Y62" s="337"/>
      <c r="Z62" s="338"/>
      <c r="AA62" s="406" t="e">
        <f>IF($W$42=3,AI23/AA$32*1000,IF($W$42=1,AA70/AA$32*1000,AA74/AA$32*1000))</f>
        <v>#DIV/0!</v>
      </c>
      <c r="AB62" s="358" t="s">
        <v>923</v>
      </c>
      <c r="AC62" s="337"/>
      <c r="AD62" s="54"/>
      <c r="AE62" s="406" t="e">
        <f>IF($W$42=3,AP23/AP$32*1000,IF($W$42=1,AE70/AP$32*1000,AE74/AP$32*1000))</f>
        <v>#DIV/0!</v>
      </c>
      <c r="AF62" s="351" t="s">
        <v>924</v>
      </c>
      <c r="AG62" s="22"/>
      <c r="AH62" s="13"/>
      <c r="AI62" s="271"/>
    </row>
    <row r="63" spans="2:35" ht="15.6" customHeight="1" x14ac:dyDescent="0.15">
      <c r="B63" s="616"/>
      <c r="C63" s="617"/>
      <c r="D63" s="617"/>
      <c r="E63" s="617"/>
      <c r="F63" s="617"/>
      <c r="G63" s="617"/>
      <c r="H63" s="617"/>
      <c r="I63" s="617"/>
      <c r="J63" s="617"/>
      <c r="K63" s="617"/>
      <c r="L63" s="617"/>
      <c r="M63" s="617"/>
      <c r="N63" s="617"/>
      <c r="O63" s="617"/>
      <c r="P63" s="617"/>
      <c r="Q63" s="617"/>
      <c r="R63" s="618"/>
      <c r="T63" s="10"/>
      <c r="U63" s="13" t="s">
        <v>811</v>
      </c>
      <c r="V63" s="22" t="s">
        <v>159</v>
      </c>
      <c r="W63" s="407" t="e">
        <f>IF($W$42=3,AA24/W$32*1000,IF($W$42=1,W71/W$32*1000,W75/W$32*1000))</f>
        <v>#DIV/0!</v>
      </c>
      <c r="X63" s="359" t="s">
        <v>925</v>
      </c>
      <c r="Y63" s="310"/>
      <c r="Z63" s="311"/>
      <c r="AA63" s="407" t="e">
        <f>IF($W$42=3,AI24/AA$32*1000,IF($W$42=1,AA71/AA$32*1000,AA75/AA$32*1000))</f>
        <v>#DIV/0!</v>
      </c>
      <c r="AB63" s="359" t="s">
        <v>926</v>
      </c>
      <c r="AC63" s="310"/>
      <c r="AD63" s="309"/>
      <c r="AE63" s="407" t="e">
        <f>IF($W$42=3,AP24/AP$32*1000,IF($W$42=1,AE71/AP$32*1000,AE75/AP$32*1000))</f>
        <v>#DIV/0!</v>
      </c>
      <c r="AF63" s="351" t="s">
        <v>927</v>
      </c>
      <c r="AG63" s="22"/>
      <c r="AH63" s="13"/>
      <c r="AI63" s="271"/>
    </row>
    <row r="64" spans="2:35" ht="15.6" customHeight="1" x14ac:dyDescent="0.15">
      <c r="B64" s="616"/>
      <c r="C64" s="617"/>
      <c r="D64" s="617"/>
      <c r="E64" s="617"/>
      <c r="F64" s="617"/>
      <c r="G64" s="617"/>
      <c r="H64" s="617"/>
      <c r="I64" s="617"/>
      <c r="J64" s="617"/>
      <c r="K64" s="617"/>
      <c r="L64" s="617"/>
      <c r="M64" s="617"/>
      <c r="N64" s="617"/>
      <c r="O64" s="617"/>
      <c r="P64" s="617"/>
      <c r="Q64" s="617"/>
      <c r="R64" s="618"/>
      <c r="T64" s="10"/>
      <c r="U64" s="262" t="s">
        <v>809</v>
      </c>
      <c r="V64" s="13"/>
      <c r="W64" s="2"/>
      <c r="X64" s="22"/>
      <c r="Y64" s="57"/>
      <c r="Z64" s="61"/>
      <c r="AA64" s="312"/>
      <c r="AB64" s="22"/>
      <c r="AC64" s="57"/>
      <c r="AD64" s="13"/>
      <c r="AE64" s="312"/>
      <c r="AF64" s="22"/>
      <c r="AG64" s="13"/>
      <c r="AH64" s="13"/>
      <c r="AI64" s="271"/>
    </row>
    <row r="65" spans="2:38" ht="15.6" customHeight="1" x14ac:dyDescent="0.15">
      <c r="B65" s="616"/>
      <c r="C65" s="617"/>
      <c r="D65" s="617"/>
      <c r="E65" s="617"/>
      <c r="F65" s="617"/>
      <c r="G65" s="617"/>
      <c r="H65" s="617"/>
      <c r="I65" s="617"/>
      <c r="J65" s="617"/>
      <c r="K65" s="617"/>
      <c r="L65" s="617"/>
      <c r="M65" s="617"/>
      <c r="N65" s="617"/>
      <c r="O65" s="617"/>
      <c r="P65" s="617"/>
      <c r="Q65" s="617"/>
      <c r="R65" s="618"/>
      <c r="T65" s="10"/>
      <c r="U65" s="13" t="s">
        <v>812</v>
      </c>
      <c r="V65" s="22" t="s">
        <v>821</v>
      </c>
      <c r="W65" s="93" t="e">
        <f>IF(W42=2,W73/(W28*(1-E18)-W29*charFracC/fuelFracC),IF(W56&gt;0,((AA18-$N21)*44/12)/(W$56/fuelFracC)*1000,0))</f>
        <v>#DIV/0!</v>
      </c>
      <c r="X65" s="351" t="s">
        <v>902</v>
      </c>
      <c r="Y65" s="57"/>
      <c r="Z65" s="61"/>
      <c r="AA65" s="85" t="e">
        <f>IF(W42=2,AA73/(AA28*(1-E18)-AA29*charFracC/fuelFracC),IF(AA56&gt;0,((AI18-$N21)*44/12)/(AA$56/fuelFracC)*1000,0))</f>
        <v>#DIV/0!</v>
      </c>
      <c r="AB65" s="351" t="s">
        <v>903</v>
      </c>
      <c r="AC65" s="57"/>
      <c r="AD65" s="13"/>
      <c r="AE65" s="85" t="e">
        <f>IF(W42=2,AE73/(AP28*(1-E18)-AP29*charFracC/fuelFracC),IF(AE56&gt;0,((AP18-$N21)*44/12)/(AE$56/fuelFracC)*1000,0))</f>
        <v>#DIV/0!</v>
      </c>
      <c r="AF65" s="351" t="s">
        <v>904</v>
      </c>
      <c r="AG65" s="13"/>
      <c r="AH65" s="13"/>
      <c r="AI65" s="271"/>
    </row>
    <row r="66" spans="2:38" ht="15.6" customHeight="1" x14ac:dyDescent="0.15">
      <c r="B66" s="616"/>
      <c r="C66" s="617"/>
      <c r="D66" s="617"/>
      <c r="E66" s="617"/>
      <c r="F66" s="617"/>
      <c r="G66" s="617"/>
      <c r="H66" s="617"/>
      <c r="I66" s="617"/>
      <c r="J66" s="617"/>
      <c r="K66" s="617"/>
      <c r="L66" s="617"/>
      <c r="M66" s="617"/>
      <c r="N66" s="617"/>
      <c r="O66" s="617"/>
      <c r="P66" s="617"/>
      <c r="Q66" s="617"/>
      <c r="R66" s="618"/>
      <c r="T66" s="10"/>
      <c r="U66" s="13" t="s">
        <v>810</v>
      </c>
      <c r="V66" s="22" t="s">
        <v>821</v>
      </c>
      <c r="W66" s="406" t="e">
        <f>IF(W42=2,W74/(W28*(1-E18)-W29*charFracC/fuelFracC),IF(W56&gt;0,((AA19-$N22)*28/12)/(W$56/fuelFracC)*1000,0))</f>
        <v>#DIV/0!</v>
      </c>
      <c r="X66" s="351" t="s">
        <v>899</v>
      </c>
      <c r="Y66" s="325"/>
      <c r="Z66" s="326"/>
      <c r="AA66" s="406" t="e">
        <f>IF(W42=2,AA74/(AA28*(1-E18)-AA29*charFracC/fuelFracC),IF(AA56&gt;0,((AI19-$N22)*28/12)/(AA$56/fuelFracC)*1000,0))</f>
        <v>#DIV/0!</v>
      </c>
      <c r="AB66" s="351" t="s">
        <v>900</v>
      </c>
      <c r="AC66" s="325"/>
      <c r="AD66" s="324"/>
      <c r="AE66" s="406" t="e">
        <f>IF(W42=2,AE74/(AP28*(1-E18)-AP29*charFracC/fuelFracC),IF(AE56&gt;0,((AP19-$N22)*28/12)/(AE$56/fuelFracC)*1000,0))</f>
        <v>#DIV/0!</v>
      </c>
      <c r="AF66" s="351" t="s">
        <v>901</v>
      </c>
      <c r="AG66" s="13"/>
      <c r="AH66" s="13"/>
      <c r="AI66" s="271"/>
      <c r="AL66" s="394"/>
    </row>
    <row r="67" spans="2:38" ht="15.6" customHeight="1" x14ac:dyDescent="0.15">
      <c r="B67" s="616"/>
      <c r="C67" s="617"/>
      <c r="D67" s="617"/>
      <c r="E67" s="617"/>
      <c r="F67" s="617"/>
      <c r="G67" s="617"/>
      <c r="H67" s="617"/>
      <c r="I67" s="617"/>
      <c r="J67" s="617"/>
      <c r="K67" s="617"/>
      <c r="L67" s="617"/>
      <c r="M67" s="617"/>
      <c r="N67" s="617"/>
      <c r="O67" s="617"/>
      <c r="P67" s="617"/>
      <c r="Q67" s="617"/>
      <c r="R67" s="618"/>
      <c r="T67" s="10"/>
      <c r="U67" s="13" t="s">
        <v>811</v>
      </c>
      <c r="V67" s="22" t="s">
        <v>821</v>
      </c>
      <c r="W67" s="408" t="e">
        <f>IF(W42=2,W75/(W28*(1-E18)-W29*charFracC/fuelFracC),IF(W57&gt;0,(AA20-$N23)/(W$57/fuelFracC)*1000/1000000,0))</f>
        <v>#DIV/0!</v>
      </c>
      <c r="X67" s="351" t="s">
        <v>905</v>
      </c>
      <c r="Y67" s="310"/>
      <c r="Z67" s="311"/>
      <c r="AA67" s="407" t="e">
        <f>IF(W42=2,AA75/(AA28*(1-E18)-AA29*charFracC/fuelFracC),IF(AA57&gt;0,(AI20-$N23)/(AA$57/fuelFracC)*1000/1000000,0))</f>
        <v>#DIV/0!</v>
      </c>
      <c r="AB67" s="351" t="s">
        <v>906</v>
      </c>
      <c r="AC67" s="310"/>
      <c r="AD67" s="309"/>
      <c r="AE67" s="407" t="e">
        <f>IF(W42=2,AE75/(AP28*(1-E18)-AP29*charFracC/fuelFracC),IF(AE57&gt;0,(AP20-$N23)/(AE$57/fuelFracC)*1000/1000000,0))</f>
        <v>#DIV/0!</v>
      </c>
      <c r="AF67" s="351" t="s">
        <v>907</v>
      </c>
      <c r="AG67" s="13"/>
      <c r="AH67" s="13"/>
      <c r="AI67" s="271"/>
    </row>
    <row r="68" spans="2:38" ht="15.6" customHeight="1" x14ac:dyDescent="0.15">
      <c r="B68" s="616"/>
      <c r="C68" s="617"/>
      <c r="D68" s="617"/>
      <c r="E68" s="617"/>
      <c r="F68" s="617"/>
      <c r="G68" s="617"/>
      <c r="H68" s="617"/>
      <c r="I68" s="617"/>
      <c r="J68" s="617"/>
      <c r="K68" s="617"/>
      <c r="L68" s="617"/>
      <c r="M68" s="617"/>
      <c r="N68" s="617"/>
      <c r="O68" s="617"/>
      <c r="P68" s="617"/>
      <c r="Q68" s="617"/>
      <c r="R68" s="618"/>
      <c r="T68" s="10"/>
      <c r="U68" s="262" t="s">
        <v>947</v>
      </c>
      <c r="V68" s="13"/>
      <c r="W68" s="2"/>
      <c r="X68" s="22"/>
      <c r="Y68" s="57"/>
      <c r="Z68" s="61"/>
      <c r="AA68" s="312"/>
      <c r="AB68" s="22"/>
      <c r="AC68" s="57"/>
      <c r="AD68" s="13"/>
      <c r="AE68" s="312"/>
      <c r="AF68" s="22"/>
      <c r="AG68" s="13"/>
      <c r="AH68" s="13"/>
      <c r="AI68" s="271"/>
    </row>
    <row r="69" spans="2:38" ht="15.6" customHeight="1" x14ac:dyDescent="0.15">
      <c r="B69" s="616"/>
      <c r="C69" s="617"/>
      <c r="D69" s="617"/>
      <c r="E69" s="617"/>
      <c r="F69" s="617"/>
      <c r="G69" s="617"/>
      <c r="H69" s="617"/>
      <c r="I69" s="617"/>
      <c r="J69" s="617"/>
      <c r="K69" s="617"/>
      <c r="L69" s="617"/>
      <c r="M69" s="617"/>
      <c r="N69" s="617"/>
      <c r="O69" s="617"/>
      <c r="P69" s="617"/>
      <c r="Q69" s="617"/>
      <c r="R69" s="618"/>
      <c r="T69" s="10"/>
      <c r="U69" s="13" t="s">
        <v>812</v>
      </c>
      <c r="V69" s="22" t="s">
        <v>20</v>
      </c>
      <c r="W69" s="93" t="e">
        <f>W65*(W28*(1-$E$18)-W29*charFracC/fuelFracC)/1000</f>
        <v>#DIV/0!</v>
      </c>
      <c r="X69" s="360" t="s">
        <v>914</v>
      </c>
      <c r="Y69" s="361"/>
      <c r="Z69" s="362"/>
      <c r="AA69" s="85" t="e">
        <f>AA65*(AA28*(1-$E$18)-AA29*charFracC/fuelFracC)/1000</f>
        <v>#DIV/0!</v>
      </c>
      <c r="AB69" s="360" t="s">
        <v>915</v>
      </c>
      <c r="AC69" s="361"/>
      <c r="AD69" s="363"/>
      <c r="AE69" s="85" t="e">
        <f>AE65*(AP28*(1-$E$18)-AP29*charFracC/fuelFracC)/1000</f>
        <v>#DIV/0!</v>
      </c>
      <c r="AF69" s="351" t="s">
        <v>916</v>
      </c>
      <c r="AG69" s="13"/>
      <c r="AH69" s="13"/>
      <c r="AI69" s="271"/>
    </row>
    <row r="70" spans="2:38" ht="15.6" customHeight="1" x14ac:dyDescent="0.15">
      <c r="B70" s="613"/>
      <c r="C70" s="614"/>
      <c r="D70" s="614"/>
      <c r="E70" s="614"/>
      <c r="F70" s="614"/>
      <c r="G70" s="614"/>
      <c r="H70" s="614"/>
      <c r="I70" s="614"/>
      <c r="J70" s="614"/>
      <c r="K70" s="614"/>
      <c r="L70" s="614"/>
      <c r="M70" s="614"/>
      <c r="N70" s="614"/>
      <c r="O70" s="614"/>
      <c r="P70" s="614"/>
      <c r="Q70" s="614"/>
      <c r="R70" s="615"/>
      <c r="T70" s="10"/>
      <c r="U70" s="13" t="s">
        <v>810</v>
      </c>
      <c r="V70" s="22" t="s">
        <v>20</v>
      </c>
      <c r="W70" s="401" t="e">
        <f>W66*(W28*(1-$E$18)-W29*charFracC/fuelFracC)/1000</f>
        <v>#DIV/0!</v>
      </c>
      <c r="X70" s="358" t="s">
        <v>911</v>
      </c>
      <c r="Y70" s="337"/>
      <c r="Z70" s="338"/>
      <c r="AA70" s="406" t="e">
        <f>AA66*(AA28*(1-$E$18)-AA29*charFracC/fuelFracC)/1000</f>
        <v>#DIV/0!</v>
      </c>
      <c r="AB70" s="358" t="s">
        <v>912</v>
      </c>
      <c r="AC70" s="337"/>
      <c r="AD70" s="54"/>
      <c r="AE70" s="406" t="e">
        <f>AE66*(AP28*(1-$E$18)-AP29*charFracC/fuelFracC)/1000</f>
        <v>#DIV/0!</v>
      </c>
      <c r="AF70" s="351" t="s">
        <v>913</v>
      </c>
      <c r="AG70" s="13"/>
      <c r="AH70" s="13"/>
      <c r="AI70" s="271"/>
    </row>
    <row r="71" spans="2:38" ht="15.6" customHeight="1" x14ac:dyDescent="0.15">
      <c r="T71" s="10"/>
      <c r="U71" s="13" t="s">
        <v>811</v>
      </c>
      <c r="V71" s="22" t="s">
        <v>20</v>
      </c>
      <c r="W71" s="408" t="e">
        <f>W67*(W28*(1-$E$18)-W29*charFracC/fuelFracC)/1000</f>
        <v>#DIV/0!</v>
      </c>
      <c r="X71" s="359" t="s">
        <v>908</v>
      </c>
      <c r="Y71" s="310"/>
      <c r="Z71" s="311"/>
      <c r="AA71" s="407" t="e">
        <f>AA67*(AA28*(1-$E$18)-AA29*charFracC/fuelFracC)/1000</f>
        <v>#DIV/0!</v>
      </c>
      <c r="AB71" s="359" t="s">
        <v>909</v>
      </c>
      <c r="AC71" s="310"/>
      <c r="AD71" s="309"/>
      <c r="AE71" s="407" t="e">
        <f>AE67*(AP28*(1-$E$18)-AP29*charFracC/fuelFracC)/1000</f>
        <v>#DIV/0!</v>
      </c>
      <c r="AF71" s="351" t="s">
        <v>910</v>
      </c>
      <c r="AG71" s="13"/>
      <c r="AH71" s="13"/>
      <c r="AI71" s="271"/>
    </row>
    <row r="72" spans="2:38" ht="15.6" customHeight="1" x14ac:dyDescent="0.15">
      <c r="T72" s="10"/>
      <c r="U72" s="262" t="s">
        <v>948</v>
      </c>
      <c r="V72" s="13"/>
      <c r="W72" s="312"/>
      <c r="X72" s="22"/>
      <c r="Y72" s="57"/>
      <c r="Z72" s="61"/>
      <c r="AA72" s="2"/>
      <c r="AB72" s="22"/>
      <c r="AC72" s="57"/>
      <c r="AD72" s="13"/>
      <c r="AE72" s="312"/>
      <c r="AF72" s="22"/>
      <c r="AG72" s="13"/>
      <c r="AH72" s="21"/>
    </row>
    <row r="73" spans="2:38" ht="15.6" customHeight="1" x14ac:dyDescent="0.15">
      <c r="T73" s="10"/>
      <c r="U73" s="13" t="s">
        <v>812</v>
      </c>
      <c r="V73" s="22" t="s">
        <v>20</v>
      </c>
      <c r="W73" s="85">
        <f>W55*(AA18-N21)*(44*'General Information'!C22)/(0.008314*(AA21+273.15))/1000000</f>
        <v>0</v>
      </c>
      <c r="X73" s="360" t="s">
        <v>914</v>
      </c>
      <c r="Y73" s="361"/>
      <c r="Z73" s="362"/>
      <c r="AA73" s="93">
        <f>AA55*(AI18-N21)*(44*'General Information'!C22)/(0.008314*(AI21+273.15))/1000000</f>
        <v>0</v>
      </c>
      <c r="AB73" s="360" t="s">
        <v>915</v>
      </c>
      <c r="AC73" s="361"/>
      <c r="AD73" s="363"/>
      <c r="AE73" s="85">
        <f>AE55*(AP18-N21)*(44*'General Information'!C22)/(0.008314*(AP21+273.15))/1000000</f>
        <v>0</v>
      </c>
      <c r="AF73" s="351" t="s">
        <v>916</v>
      </c>
      <c r="AG73" s="13"/>
      <c r="AH73" s="21"/>
    </row>
    <row r="74" spans="2:38" ht="15.6" customHeight="1" x14ac:dyDescent="0.15">
      <c r="T74" s="10"/>
      <c r="U74" s="13" t="s">
        <v>810</v>
      </c>
      <c r="V74" s="22" t="s">
        <v>20</v>
      </c>
      <c r="W74" s="406">
        <f>W55*(AA19-N22)*(28*'General Information'!C22)/(0.008314*(AA21+273.15))/1000000</f>
        <v>0</v>
      </c>
      <c r="X74" s="358" t="s">
        <v>911</v>
      </c>
      <c r="Y74" s="337"/>
      <c r="Z74" s="338"/>
      <c r="AA74" s="401">
        <f>AA55*(AI19-N22)*(28*'General Information'!C22)/(0.008314*(AI21+273.15))/1000000</f>
        <v>0</v>
      </c>
      <c r="AB74" s="358" t="s">
        <v>912</v>
      </c>
      <c r="AC74" s="337"/>
      <c r="AD74" s="54"/>
      <c r="AE74" s="406">
        <f>AE55*(AP19-N22)*(28*'General Information'!C22)/(0.008314*(AP21+273.15))/1000000</f>
        <v>0</v>
      </c>
      <c r="AF74" s="351" t="s">
        <v>913</v>
      </c>
      <c r="AG74" s="13"/>
      <c r="AH74" s="21"/>
    </row>
    <row r="75" spans="2:38" ht="15.6" customHeight="1" thickBot="1" x14ac:dyDescent="0.2">
      <c r="T75" s="10"/>
      <c r="U75" s="13" t="s">
        <v>811</v>
      </c>
      <c r="V75" s="22" t="s">
        <v>20</v>
      </c>
      <c r="W75" s="407">
        <f>W55*(AA20-N23)/1000000</f>
        <v>0</v>
      </c>
      <c r="X75" s="359" t="s">
        <v>908</v>
      </c>
      <c r="Y75" s="310"/>
      <c r="Z75" s="311"/>
      <c r="AA75" s="408">
        <f>AA55*(AI20-N23)/1000000</f>
        <v>0</v>
      </c>
      <c r="AB75" s="359" t="s">
        <v>909</v>
      </c>
      <c r="AC75" s="310"/>
      <c r="AD75" s="309"/>
      <c r="AE75" s="407">
        <f>AE55*(AP20-N23)/1000000</f>
        <v>0</v>
      </c>
      <c r="AF75" s="351" t="s">
        <v>910</v>
      </c>
      <c r="AG75" s="13"/>
      <c r="AH75" s="21"/>
    </row>
    <row r="76" spans="2:38" ht="15.6" customHeight="1" thickTop="1" x14ac:dyDescent="0.15">
      <c r="T76" s="258"/>
      <c r="U76" s="259" t="s">
        <v>818</v>
      </c>
      <c r="V76" s="259"/>
      <c r="W76" s="313"/>
      <c r="X76" s="352"/>
      <c r="Y76" s="259"/>
      <c r="Z76" s="259"/>
      <c r="AA76" s="259"/>
      <c r="AB76" s="259"/>
      <c r="AC76" s="259"/>
      <c r="AD76" s="259"/>
      <c r="AE76" s="259"/>
      <c r="AF76" s="259"/>
      <c r="AG76" s="259"/>
      <c r="AH76" s="297"/>
    </row>
    <row r="77" spans="2:38" ht="15" customHeight="1" x14ac:dyDescent="0.15">
      <c r="T77" s="10"/>
      <c r="U77" s="13" t="s">
        <v>819</v>
      </c>
      <c r="V77" s="13" t="s">
        <v>20</v>
      </c>
      <c r="W77" s="406" t="e">
        <f>(IF(ISERROR(AA$38),W62,AVERAGE(W62,AA62))+AE62)*5</f>
        <v>#DIV/0!</v>
      </c>
      <c r="X77" s="22" t="s">
        <v>917</v>
      </c>
      <c r="Y77" s="13"/>
      <c r="Z77" s="13"/>
      <c r="AA77" s="13"/>
      <c r="AB77" s="13"/>
      <c r="AC77" s="13"/>
      <c r="AD77" s="13"/>
      <c r="AE77" s="13"/>
      <c r="AF77" s="13"/>
      <c r="AG77" s="13"/>
      <c r="AH77" s="21"/>
    </row>
    <row r="78" spans="2:38" ht="15" customHeight="1" thickBot="1" x14ac:dyDescent="0.2">
      <c r="T78" s="113"/>
      <c r="U78" s="114" t="s">
        <v>820</v>
      </c>
      <c r="V78" s="114" t="s">
        <v>20</v>
      </c>
      <c r="W78" s="409" t="e">
        <f>(IF(ISERROR(AA$38),W63,AVERAGE(W63,AA63))+AE63)*5</f>
        <v>#DIV/0!</v>
      </c>
      <c r="X78" s="115" t="s">
        <v>918</v>
      </c>
      <c r="Y78" s="114"/>
      <c r="Z78" s="114"/>
      <c r="AA78" s="114"/>
      <c r="AB78" s="114"/>
      <c r="AC78" s="114"/>
      <c r="AD78" s="114"/>
      <c r="AE78" s="114"/>
      <c r="AF78" s="114"/>
      <c r="AG78" s="114"/>
      <c r="AH78" s="298"/>
    </row>
    <row r="79" spans="2:38" ht="15" customHeight="1" thickTop="1" x14ac:dyDescent="0.15"/>
  </sheetData>
  <mergeCells count="82">
    <mergeCell ref="A2:S2"/>
    <mergeCell ref="W2:AB2"/>
    <mergeCell ref="AE2:AJ2"/>
    <mergeCell ref="AL2:AQ2"/>
    <mergeCell ref="W3:X3"/>
    <mergeCell ref="AA3:AB3"/>
    <mergeCell ref="AE3:AF3"/>
    <mergeCell ref="AI3:AJ3"/>
    <mergeCell ref="AL3:AM3"/>
    <mergeCell ref="D10:K10"/>
    <mergeCell ref="AP3:AQ3"/>
    <mergeCell ref="AA4:AB4"/>
    <mergeCell ref="AI4:AJ4"/>
    <mergeCell ref="AL4:AM4"/>
    <mergeCell ref="AP4:AQ4"/>
    <mergeCell ref="D6:K6"/>
    <mergeCell ref="M6:P6"/>
    <mergeCell ref="D7:K7"/>
    <mergeCell ref="M7:P7"/>
    <mergeCell ref="D8:K8"/>
    <mergeCell ref="M8:P8"/>
    <mergeCell ref="D9:K9"/>
    <mergeCell ref="D11:K11"/>
    <mergeCell ref="B14:D14"/>
    <mergeCell ref="B15:D15"/>
    <mergeCell ref="K15:M15"/>
    <mergeCell ref="B16:D16"/>
    <mergeCell ref="K16:M16"/>
    <mergeCell ref="B23:D23"/>
    <mergeCell ref="W16:X16"/>
    <mergeCell ref="AE16:AF16"/>
    <mergeCell ref="AL16:AM16"/>
    <mergeCell ref="E17:G17"/>
    <mergeCell ref="K17:M17"/>
    <mergeCell ref="B18:D18"/>
    <mergeCell ref="K18:M18"/>
    <mergeCell ref="B19:D19"/>
    <mergeCell ref="K19:M19"/>
    <mergeCell ref="B20:D20"/>
    <mergeCell ref="K20:M20"/>
    <mergeCell ref="B21:D21"/>
    <mergeCell ref="B42:R42"/>
    <mergeCell ref="B33:R33"/>
    <mergeCell ref="B41:R41"/>
    <mergeCell ref="E25:R25"/>
    <mergeCell ref="B26:R26"/>
    <mergeCell ref="B27:R27"/>
    <mergeCell ref="B29:R29"/>
    <mergeCell ref="B30:R30"/>
    <mergeCell ref="B31:R31"/>
    <mergeCell ref="B28:R28"/>
    <mergeCell ref="B32:R32"/>
    <mergeCell ref="B34:R34"/>
    <mergeCell ref="B35:R35"/>
    <mergeCell ref="B39:R39"/>
    <mergeCell ref="B40:R40"/>
    <mergeCell ref="B58:R58"/>
    <mergeCell ref="B52:R52"/>
    <mergeCell ref="B57:R57"/>
    <mergeCell ref="B43:R43"/>
    <mergeCell ref="B44:R44"/>
    <mergeCell ref="B45:R45"/>
    <mergeCell ref="B47:R47"/>
    <mergeCell ref="B48:R48"/>
    <mergeCell ref="B50:R50"/>
    <mergeCell ref="B46:R46"/>
    <mergeCell ref="B51:R51"/>
    <mergeCell ref="B53:R53"/>
    <mergeCell ref="B54:R54"/>
    <mergeCell ref="B55:R55"/>
    <mergeCell ref="B56:R56"/>
    <mergeCell ref="B67:R67"/>
    <mergeCell ref="B69:R69"/>
    <mergeCell ref="B70:R70"/>
    <mergeCell ref="B59:R59"/>
    <mergeCell ref="B61:R61"/>
    <mergeCell ref="B62:R62"/>
    <mergeCell ref="B64:R64"/>
    <mergeCell ref="B65:R65"/>
    <mergeCell ref="B66:R66"/>
    <mergeCell ref="B63:R63"/>
    <mergeCell ref="B68:R68"/>
  </mergeCells>
  <conditionalFormatting sqref="W28:W40 AA28:AA40 AP28:AP41 AE44:AF51 W55:W75 AA55:AA75 AE55:AE75 W77:W78">
    <cfRule type="containsErrors" dxfId="9" priority="1" stopIfTrue="1">
      <formula>ISERROR(W28)</formula>
    </cfRule>
  </conditionalFormatting>
  <pageMargins left="0.74791666666666667" right="0.74791666666666667" top="0.75" bottom="0.75" header="0.51180555555555551" footer="0.5"/>
  <pageSetup scale="90" firstPageNumber="0" orientation="landscape" horizontalDpi="300" verticalDpi="300" r:id="rId1"/>
  <headerFooter alignWithMargins="0">
    <oddFooter>&amp;L&amp;F&amp;C&amp;A&amp;RPage &amp;P</oddFooter>
  </headerFooter>
  <rowBreaks count="1" manualBreakCount="1">
    <brk id="37" max="16383" man="1"/>
  </rowBreaks>
  <colBreaks count="2" manualBreakCount="2">
    <brk id="19" max="1048575" man="1"/>
    <brk id="52" max="1048575" man="1"/>
  </colBreaks>
  <ignoredErrors>
    <ignoredError sqref="E22:E23 E19 N20 D9:K11"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8433" r:id="rId4" name="ComboBox">
              <controlPr defaultSize="0" autoFill="0" autoLine="0" autoPict="0">
                <anchor moveWithCells="1" sizeWithCells="1">
                  <from>
                    <xdr:col>3</xdr:col>
                    <xdr:colOff>838200</xdr:colOff>
                    <xdr:row>15</xdr:row>
                    <xdr:rowOff>28575</xdr:rowOff>
                  </from>
                  <to>
                    <xdr:col>7</xdr:col>
                    <xdr:colOff>123825</xdr:colOff>
                    <xdr:row>16</xdr:row>
                    <xdr:rowOff>28575</xdr:rowOff>
                  </to>
                </anchor>
              </controlPr>
            </control>
          </mc:Choice>
        </mc:AlternateContent>
        <mc:AlternateContent xmlns:mc="http://schemas.openxmlformats.org/markup-compatibility/2006">
          <mc:Choice Requires="x14">
            <control shapeId="18434" r:id="rId5" name="Drop Down 2">
              <controlPr defaultSize="0" autoLine="0" autoPict="0">
                <anchor moveWithCells="1">
                  <from>
                    <xdr:col>21</xdr:col>
                    <xdr:colOff>0</xdr:colOff>
                    <xdr:row>41</xdr:row>
                    <xdr:rowOff>9525</xdr:rowOff>
                  </from>
                  <to>
                    <xdr:col>22</xdr:col>
                    <xdr:colOff>619125</xdr:colOff>
                    <xdr:row>42</xdr:row>
                    <xdr:rowOff>9525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DU79"/>
  <sheetViews>
    <sheetView showGridLines="0" showZeros="0" zoomScaleNormal="100" zoomScaleSheetLayoutView="100" workbookViewId="0">
      <selection activeCell="D6" sqref="D6:K6"/>
    </sheetView>
  </sheetViews>
  <sheetFormatPr defaultColWidth="15.640625" defaultRowHeight="27.95" customHeight="1" x14ac:dyDescent="0.15"/>
  <cols>
    <col min="1" max="1" width="1.75" style="1" customWidth="1"/>
    <col min="2" max="2" width="14.5625" style="1" customWidth="1"/>
    <col min="3" max="3" width="6.60546875" style="2" customWidth="1"/>
    <col min="4" max="4" width="12.67578125" style="1" customWidth="1"/>
    <col min="5" max="5" width="8.08984375" style="1" customWidth="1"/>
    <col min="6" max="6" width="2.01953125" style="1" customWidth="1"/>
    <col min="7" max="7" width="5.93359375" style="1" customWidth="1"/>
    <col min="8" max="8" width="2.01953125" style="2" customWidth="1"/>
    <col min="9" max="9" width="7.28125" style="2" customWidth="1"/>
    <col min="10" max="10" width="1.75" style="2" customWidth="1"/>
    <col min="11" max="11" width="14.42578125" style="2" customWidth="1"/>
    <col min="12" max="12" width="5.66015625" style="2" customWidth="1"/>
    <col min="13" max="13" width="14.5625" style="2" customWidth="1"/>
    <col min="14" max="14" width="7.68359375" style="2" customWidth="1"/>
    <col min="15" max="15" width="2.01953125" style="2" customWidth="1"/>
    <col min="16" max="16" width="6.60546875" style="2" customWidth="1"/>
    <col min="17" max="17" width="2.01953125" style="2" customWidth="1"/>
    <col min="18" max="18" width="7.28125" style="2" customWidth="1"/>
    <col min="19" max="19" width="1.75" style="1" customWidth="1"/>
    <col min="20" max="20" width="1.75" style="3" customWidth="1"/>
    <col min="21" max="21" width="25.484375" style="3" customWidth="1"/>
    <col min="22" max="22" width="13.88671875" style="3" bestFit="1" customWidth="1"/>
    <col min="23" max="23" width="12" style="3" customWidth="1"/>
    <col min="24" max="24" width="5.390625" style="3" customWidth="1"/>
    <col min="25" max="25" width="0.5390625" style="3" customWidth="1"/>
    <col min="26" max="26" width="0.80859375" style="3" customWidth="1"/>
    <col min="27" max="27" width="8.76171875" style="3" customWidth="1"/>
    <col min="28" max="28" width="6.7421875" style="3" customWidth="1"/>
    <col min="29" max="30" width="0.80859375" style="3" customWidth="1"/>
    <col min="31" max="31" width="8.08984375" style="3" customWidth="1"/>
    <col min="32" max="32" width="5.796875" style="3" customWidth="1"/>
    <col min="33" max="33" width="0.80859375" style="3" customWidth="1"/>
    <col min="34" max="34" width="0.671875" style="3" customWidth="1"/>
    <col min="35" max="35" width="8.08984375" style="3" customWidth="1"/>
    <col min="36" max="36" width="5.12109375" style="3" customWidth="1"/>
    <col min="37" max="37" width="0.80859375" style="3" customWidth="1"/>
    <col min="38" max="38" width="8.62890625" style="3" customWidth="1"/>
    <col min="39" max="39" width="7.28125" style="3" customWidth="1"/>
    <col min="40" max="41" width="0.94140625" style="3" customWidth="1"/>
    <col min="42" max="42" width="8.08984375" style="3" customWidth="1"/>
    <col min="43" max="43" width="6.203125" style="3" customWidth="1"/>
    <col min="44" max="44" width="1.75" style="3" customWidth="1"/>
    <col min="45" max="45" width="8.359375" customWidth="1"/>
    <col min="46" max="46" width="5.796875" customWidth="1"/>
    <col min="47" max="47" width="6.47265625" customWidth="1"/>
    <col min="48" max="48" width="5.390625" customWidth="1"/>
    <col min="49" max="49" width="6.7421875" customWidth="1"/>
    <col min="50" max="50" width="7.4140625" customWidth="1"/>
    <col min="51" max="51" width="20.90234375" customWidth="1"/>
    <col min="52" max="53" width="1.75" customWidth="1"/>
    <col min="54" max="54" width="33.7109375" customWidth="1"/>
    <col min="55" max="55" width="5.796875" customWidth="1"/>
    <col min="56" max="56" width="6.47265625" customWidth="1"/>
    <col min="57" max="57" width="5.390625" customWidth="1"/>
    <col min="58" max="58" width="6.7421875" customWidth="1"/>
    <col min="59" max="59" width="7.4140625" customWidth="1"/>
    <col min="60" max="60" width="20.90234375" customWidth="1"/>
    <col min="61" max="61" width="0" hidden="1" customWidth="1"/>
    <col min="62" max="70" width="9.03515625" customWidth="1"/>
    <col min="71" max="122" width="8.8984375" customWidth="1"/>
    <col min="123" max="16384" width="15.640625" style="1"/>
  </cols>
  <sheetData>
    <row r="1" spans="1:125" ht="6" customHeight="1" thickTop="1" thickBot="1" x14ac:dyDescent="0.2">
      <c r="A1" s="4"/>
      <c r="B1" s="5"/>
      <c r="C1" s="5"/>
      <c r="D1" s="5"/>
      <c r="E1" s="5"/>
      <c r="F1" s="5"/>
      <c r="G1" s="5"/>
      <c r="H1" s="5"/>
      <c r="I1" s="5"/>
      <c r="J1" s="5"/>
      <c r="K1" s="5"/>
      <c r="L1" s="5"/>
      <c r="M1" s="5"/>
      <c r="N1" s="5"/>
      <c r="O1" s="5"/>
      <c r="P1" s="5"/>
      <c r="Q1" s="5"/>
      <c r="R1" s="5"/>
      <c r="S1" s="6"/>
      <c r="T1" s="7"/>
      <c r="U1" s="8"/>
      <c r="V1" s="8"/>
      <c r="W1" s="8"/>
      <c r="X1" s="8"/>
      <c r="Y1" s="8"/>
      <c r="Z1" s="8"/>
      <c r="AA1" s="8"/>
      <c r="AB1" s="8"/>
      <c r="AC1" s="8"/>
      <c r="AD1" s="8"/>
      <c r="AE1" s="8"/>
      <c r="AF1" s="8"/>
      <c r="AG1" s="8"/>
      <c r="AH1" s="8"/>
      <c r="AI1" s="8"/>
      <c r="AJ1" s="8"/>
      <c r="AK1" s="8"/>
      <c r="AL1" s="8"/>
      <c r="AM1" s="8"/>
      <c r="AN1" s="8"/>
      <c r="AO1" s="8"/>
      <c r="AP1" s="8"/>
      <c r="AQ1" s="8"/>
      <c r="AR1" s="9"/>
      <c r="AS1" s="25"/>
      <c r="AT1" s="2"/>
      <c r="DS1"/>
      <c r="DT1"/>
      <c r="DU1"/>
    </row>
    <row r="2" spans="1:125" ht="13.5" customHeight="1" thickBot="1" x14ac:dyDescent="0.2">
      <c r="A2" s="637" t="str">
        <f>"WATER BOILING TEST - VERSION "&amp;version&amp;" - TEST #6"</f>
        <v>WATER BOILING TEST - VERSION 4.2.3 - TEST #6</v>
      </c>
      <c r="B2" s="637"/>
      <c r="C2" s="637"/>
      <c r="D2" s="637"/>
      <c r="E2" s="637"/>
      <c r="F2" s="637"/>
      <c r="G2" s="637"/>
      <c r="H2" s="637"/>
      <c r="I2" s="637"/>
      <c r="J2" s="637"/>
      <c r="K2" s="637"/>
      <c r="L2" s="637"/>
      <c r="M2" s="637"/>
      <c r="N2" s="637"/>
      <c r="O2" s="637"/>
      <c r="P2" s="637"/>
      <c r="Q2" s="637"/>
      <c r="R2" s="637"/>
      <c r="S2" s="637"/>
      <c r="T2" s="10"/>
      <c r="U2" s="255" t="str">
        <f>"TEST #6 "&amp;D7</f>
        <v xml:space="preserve">TEST #6 </v>
      </c>
      <c r="V2" s="11"/>
      <c r="W2" s="638" t="s">
        <v>0</v>
      </c>
      <c r="X2" s="638"/>
      <c r="Y2" s="638"/>
      <c r="Z2" s="638"/>
      <c r="AA2" s="638"/>
      <c r="AB2" s="638"/>
      <c r="AC2" s="256"/>
      <c r="AD2" s="12"/>
      <c r="AE2" s="638" t="s">
        <v>1</v>
      </c>
      <c r="AF2" s="638"/>
      <c r="AG2" s="638"/>
      <c r="AH2" s="638"/>
      <c r="AI2" s="638"/>
      <c r="AJ2" s="638"/>
      <c r="AK2" s="13"/>
      <c r="AL2" s="638" t="s">
        <v>2</v>
      </c>
      <c r="AM2" s="638"/>
      <c r="AN2" s="638"/>
      <c r="AO2" s="638"/>
      <c r="AP2" s="638"/>
      <c r="AQ2" s="638"/>
      <c r="AR2" s="14"/>
    </row>
    <row r="3" spans="1:125" ht="12.75" customHeight="1" x14ac:dyDescent="0.15">
      <c r="A3" s="16"/>
      <c r="B3" s="17" t="s">
        <v>748</v>
      </c>
      <c r="C3" s="17"/>
      <c r="D3" s="17"/>
      <c r="E3" s="17"/>
      <c r="F3" s="17"/>
      <c r="G3" s="17"/>
      <c r="H3" s="17"/>
      <c r="I3" s="17"/>
      <c r="J3" s="17"/>
      <c r="K3" s="17"/>
      <c r="L3" s="17"/>
      <c r="M3" s="17"/>
      <c r="N3" s="17"/>
      <c r="O3" s="17"/>
      <c r="P3" s="17"/>
      <c r="Q3" s="17"/>
      <c r="R3" s="17"/>
      <c r="S3" s="18"/>
      <c r="T3" s="19"/>
      <c r="U3" s="20"/>
      <c r="V3" s="21"/>
      <c r="W3" s="641" t="s">
        <v>3</v>
      </c>
      <c r="X3" s="641"/>
      <c r="Y3" s="23"/>
      <c r="Z3" s="13"/>
      <c r="AA3" s="642" t="s">
        <v>4</v>
      </c>
      <c r="AB3" s="642"/>
      <c r="AC3" s="24"/>
      <c r="AD3" s="12"/>
      <c r="AE3" s="643" t="s">
        <v>3</v>
      </c>
      <c r="AF3" s="643"/>
      <c r="AG3" s="23"/>
      <c r="AH3" s="13"/>
      <c r="AI3" s="642" t="s">
        <v>4</v>
      </c>
      <c r="AJ3" s="642"/>
      <c r="AK3" s="12"/>
      <c r="AL3" s="639" t="s">
        <v>3</v>
      </c>
      <c r="AM3" s="639"/>
      <c r="AN3" s="23"/>
      <c r="AO3" s="13"/>
      <c r="AP3" s="640" t="s">
        <v>5</v>
      </c>
      <c r="AQ3" s="640"/>
      <c r="AR3" s="14"/>
    </row>
    <row r="4" spans="1:125" ht="12.75" customHeight="1" x14ac:dyDescent="0.15">
      <c r="A4" s="25"/>
      <c r="B4" s="26" t="s">
        <v>749</v>
      </c>
      <c r="C4" s="26"/>
      <c r="D4" s="26"/>
      <c r="E4" s="26"/>
      <c r="F4" s="26"/>
      <c r="G4" s="26"/>
      <c r="H4" s="26"/>
      <c r="I4" s="26"/>
      <c r="J4" s="27"/>
      <c r="K4" s="27"/>
      <c r="L4" s="27"/>
      <c r="M4" s="27"/>
      <c r="N4" s="27"/>
      <c r="O4" s="27"/>
      <c r="P4" s="27"/>
      <c r="Q4" s="27"/>
      <c r="R4" s="27"/>
      <c r="S4" s="15"/>
      <c r="T4" s="28"/>
      <c r="U4" s="29"/>
      <c r="V4" s="30"/>
      <c r="W4" s="31"/>
      <c r="X4" s="31"/>
      <c r="Y4" s="32"/>
      <c r="Z4" s="33"/>
      <c r="AA4" s="631" t="s">
        <v>6</v>
      </c>
      <c r="AB4" s="631"/>
      <c r="AC4" s="24"/>
      <c r="AD4" s="12"/>
      <c r="AE4" s="31"/>
      <c r="AF4" s="31"/>
      <c r="AG4" s="32"/>
      <c r="AH4" s="33"/>
      <c r="AI4" s="631" t="s">
        <v>6</v>
      </c>
      <c r="AJ4" s="631"/>
      <c r="AK4" s="12"/>
      <c r="AL4" s="633"/>
      <c r="AM4" s="633"/>
      <c r="AN4" s="34"/>
      <c r="AO4" s="31"/>
      <c r="AP4" s="644"/>
      <c r="AQ4" s="644"/>
      <c r="AR4" s="14"/>
    </row>
    <row r="5" spans="1:125" ht="13.5" customHeight="1" thickBot="1" x14ac:dyDescent="0.2">
      <c r="A5" s="25"/>
      <c r="B5" s="35" t="s">
        <v>7</v>
      </c>
      <c r="D5" s="2"/>
      <c r="E5" s="2"/>
      <c r="F5" s="2"/>
      <c r="G5" s="2"/>
      <c r="S5" s="15"/>
      <c r="T5" s="28"/>
      <c r="U5" s="36" t="s">
        <v>8</v>
      </c>
      <c r="V5" s="37" t="s">
        <v>9</v>
      </c>
      <c r="W5" s="38" t="s">
        <v>10</v>
      </c>
      <c r="X5" s="38" t="s">
        <v>11</v>
      </c>
      <c r="Y5" s="39"/>
      <c r="Z5" s="38"/>
      <c r="AA5" s="38" t="s">
        <v>10</v>
      </c>
      <c r="AB5" s="37" t="s">
        <v>11</v>
      </c>
      <c r="AC5" s="24"/>
      <c r="AD5" s="12"/>
      <c r="AE5" s="38" t="s">
        <v>10</v>
      </c>
      <c r="AF5" s="38" t="s">
        <v>11</v>
      </c>
      <c r="AG5" s="40"/>
      <c r="AH5" s="41"/>
      <c r="AI5" s="38" t="s">
        <v>10</v>
      </c>
      <c r="AJ5" s="37" t="s">
        <v>11</v>
      </c>
      <c r="AK5" s="12"/>
      <c r="AL5" s="38" t="s">
        <v>10</v>
      </c>
      <c r="AM5" s="38" t="s">
        <v>11</v>
      </c>
      <c r="AN5" s="40"/>
      <c r="AO5" s="41"/>
      <c r="AP5" s="38" t="s">
        <v>10</v>
      </c>
      <c r="AQ5" s="37" t="s">
        <v>11</v>
      </c>
      <c r="AR5" s="14"/>
    </row>
    <row r="6" spans="1:125" ht="15.75" customHeight="1" x14ac:dyDescent="0.2">
      <c r="A6" s="25"/>
      <c r="B6" s="2" t="s">
        <v>12</v>
      </c>
      <c r="D6" s="629"/>
      <c r="E6" s="629"/>
      <c r="F6" s="629"/>
      <c r="G6" s="629"/>
      <c r="H6" s="629"/>
      <c r="I6" s="629"/>
      <c r="J6" s="629"/>
      <c r="K6" s="629"/>
      <c r="M6" s="635" t="s">
        <v>834</v>
      </c>
      <c r="N6" s="635"/>
      <c r="O6" s="635"/>
      <c r="P6" s="635"/>
      <c r="Q6" s="265"/>
      <c r="R6" s="265"/>
      <c r="S6" s="15"/>
      <c r="T6" s="28"/>
      <c r="U6" s="30" t="s">
        <v>716</v>
      </c>
      <c r="V6" s="24" t="s">
        <v>13</v>
      </c>
      <c r="W6" s="42"/>
      <c r="X6" s="43" t="s">
        <v>14</v>
      </c>
      <c r="Y6" s="44"/>
      <c r="Z6" s="43"/>
      <c r="AA6" s="42"/>
      <c r="AB6" s="45" t="s">
        <v>15</v>
      </c>
      <c r="AC6" s="45"/>
      <c r="AD6" s="12"/>
      <c r="AE6" s="42"/>
      <c r="AF6" s="43" t="s">
        <v>16</v>
      </c>
      <c r="AG6" s="46"/>
      <c r="AH6" s="13"/>
      <c r="AI6" s="42"/>
      <c r="AJ6" s="45" t="s">
        <v>17</v>
      </c>
      <c r="AK6" s="12"/>
      <c r="AL6" s="42"/>
      <c r="AM6" s="43" t="s">
        <v>18</v>
      </c>
      <c r="AN6" s="46"/>
      <c r="AO6" s="13"/>
      <c r="AP6" s="42"/>
      <c r="AQ6" s="45" t="s">
        <v>19</v>
      </c>
      <c r="AR6" s="14"/>
    </row>
    <row r="7" spans="1:125" ht="15.75" customHeight="1" x14ac:dyDescent="0.2">
      <c r="A7" s="25"/>
      <c r="B7" s="2" t="s">
        <v>27</v>
      </c>
      <c r="D7" s="629"/>
      <c r="E7" s="629"/>
      <c r="F7" s="629"/>
      <c r="G7" s="629"/>
      <c r="H7" s="629"/>
      <c r="I7" s="629"/>
      <c r="J7" s="629"/>
      <c r="K7" s="629"/>
      <c r="M7" s="663" t="s">
        <v>969</v>
      </c>
      <c r="N7" s="663"/>
      <c r="O7" s="663"/>
      <c r="P7" s="663"/>
      <c r="Q7" s="265"/>
      <c r="R7" s="265"/>
      <c r="S7" s="15"/>
      <c r="T7" s="28"/>
      <c r="U7" s="30" t="s">
        <v>873</v>
      </c>
      <c r="V7" s="24" t="s">
        <v>20</v>
      </c>
      <c r="W7" s="47"/>
      <c r="X7" s="43" t="s">
        <v>21</v>
      </c>
      <c r="Y7" s="44"/>
      <c r="Z7" s="43"/>
      <c r="AA7" s="47"/>
      <c r="AB7" s="45" t="s">
        <v>22</v>
      </c>
      <c r="AC7" s="45"/>
      <c r="AD7" s="12"/>
      <c r="AE7" s="47"/>
      <c r="AF7" s="43" t="s">
        <v>23</v>
      </c>
      <c r="AG7" s="46"/>
      <c r="AH7" s="13"/>
      <c r="AI7" s="47"/>
      <c r="AJ7" s="45" t="s">
        <v>24</v>
      </c>
      <c r="AK7" s="12"/>
      <c r="AL7" s="47"/>
      <c r="AM7" s="43" t="s">
        <v>25</v>
      </c>
      <c r="AN7" s="46"/>
      <c r="AO7" s="13"/>
      <c r="AP7" s="47"/>
      <c r="AQ7" s="45" t="s">
        <v>26</v>
      </c>
      <c r="AR7" s="14"/>
    </row>
    <row r="8" spans="1:125" ht="15.75" customHeight="1" x14ac:dyDescent="0.2">
      <c r="A8" s="25"/>
      <c r="B8" s="2" t="s">
        <v>36</v>
      </c>
      <c r="D8" s="628"/>
      <c r="E8" s="629"/>
      <c r="F8" s="629"/>
      <c r="G8" s="629"/>
      <c r="H8" s="629"/>
      <c r="I8" s="629"/>
      <c r="J8" s="629"/>
      <c r="K8" s="629"/>
      <c r="M8" s="656" t="s">
        <v>953</v>
      </c>
      <c r="N8" s="656"/>
      <c r="O8" s="656"/>
      <c r="P8" s="656"/>
      <c r="Q8" s="265"/>
      <c r="R8" s="265"/>
      <c r="S8" s="15"/>
      <c r="T8" s="28"/>
      <c r="U8" s="30" t="s">
        <v>28</v>
      </c>
      <c r="V8" s="24" t="s">
        <v>29</v>
      </c>
      <c r="W8" s="48"/>
      <c r="X8" s="49" t="s">
        <v>30</v>
      </c>
      <c r="Y8" s="50"/>
      <c r="Z8" s="49"/>
      <c r="AA8" s="48"/>
      <c r="AB8" s="51" t="s">
        <v>31</v>
      </c>
      <c r="AC8" s="51"/>
      <c r="AD8" s="52"/>
      <c r="AE8" s="48"/>
      <c r="AF8" s="49" t="s">
        <v>32</v>
      </c>
      <c r="AG8" s="53"/>
      <c r="AH8" s="54"/>
      <c r="AI8" s="48"/>
      <c r="AJ8" s="45" t="s">
        <v>33</v>
      </c>
      <c r="AK8" s="12"/>
      <c r="AL8" s="48"/>
      <c r="AM8" s="43" t="s">
        <v>34</v>
      </c>
      <c r="AN8" s="46"/>
      <c r="AO8" s="13"/>
      <c r="AP8" s="48"/>
      <c r="AQ8" s="45" t="s">
        <v>35</v>
      </c>
      <c r="AR8" s="14"/>
    </row>
    <row r="9" spans="1:125" ht="15.75" customHeight="1" x14ac:dyDescent="0.2">
      <c r="A9" s="25"/>
      <c r="B9" s="2" t="s">
        <v>50</v>
      </c>
      <c r="D9" s="630">
        <f>'General Information'!C7</f>
        <v>0</v>
      </c>
      <c r="E9" s="630"/>
      <c r="F9" s="630"/>
      <c r="G9" s="630"/>
      <c r="H9" s="630"/>
      <c r="I9" s="630"/>
      <c r="J9" s="630"/>
      <c r="K9" s="630"/>
      <c r="M9" s="265"/>
      <c r="N9" s="265"/>
      <c r="O9" s="265"/>
      <c r="P9" s="265"/>
      <c r="Q9" s="265"/>
      <c r="R9" s="265"/>
      <c r="S9" s="15"/>
      <c r="T9" s="28"/>
      <c r="U9" s="55" t="s">
        <v>37</v>
      </c>
      <c r="V9" s="24" t="s">
        <v>29</v>
      </c>
      <c r="W9" s="48"/>
      <c r="X9" s="49" t="s">
        <v>185</v>
      </c>
      <c r="Y9" s="50"/>
      <c r="Z9" s="49"/>
      <c r="AA9" s="48"/>
      <c r="AB9" s="51" t="s">
        <v>38</v>
      </c>
      <c r="AC9" s="51"/>
      <c r="AD9" s="52"/>
      <c r="AE9" s="48"/>
      <c r="AF9" s="49" t="s">
        <v>39</v>
      </c>
      <c r="AG9" s="53"/>
      <c r="AH9" s="54"/>
      <c r="AI9" s="48"/>
      <c r="AJ9" s="45" t="s">
        <v>40</v>
      </c>
      <c r="AK9" s="12"/>
      <c r="AL9" s="48"/>
      <c r="AM9" s="56" t="s">
        <v>41</v>
      </c>
      <c r="AN9" s="57"/>
      <c r="AO9" s="58"/>
      <c r="AP9" s="48"/>
      <c r="AQ9" s="59" t="s">
        <v>42</v>
      </c>
      <c r="AR9" s="14"/>
    </row>
    <row r="10" spans="1:125" ht="15.75" customHeight="1" x14ac:dyDescent="0.2">
      <c r="A10" s="25"/>
      <c r="B10" s="2" t="s">
        <v>43</v>
      </c>
      <c r="D10" s="632">
        <f>'General Information'!C10</f>
        <v>0</v>
      </c>
      <c r="E10" s="632"/>
      <c r="F10" s="632"/>
      <c r="G10" s="632"/>
      <c r="H10" s="632"/>
      <c r="I10" s="632"/>
      <c r="J10" s="632"/>
      <c r="K10" s="632"/>
      <c r="S10" s="15"/>
      <c r="T10" s="28"/>
      <c r="U10" s="55" t="s">
        <v>44</v>
      </c>
      <c r="V10" s="24" t="s">
        <v>29</v>
      </c>
      <c r="W10" s="48"/>
      <c r="X10" s="49" t="s">
        <v>186</v>
      </c>
      <c r="Y10" s="50"/>
      <c r="Z10" s="49"/>
      <c r="AA10" s="48"/>
      <c r="AB10" s="51" t="s">
        <v>45</v>
      </c>
      <c r="AC10" s="51"/>
      <c r="AD10" s="52"/>
      <c r="AE10" s="48"/>
      <c r="AF10" s="49" t="s">
        <v>46</v>
      </c>
      <c r="AG10" s="53"/>
      <c r="AH10" s="54"/>
      <c r="AI10" s="48"/>
      <c r="AJ10" s="45" t="s">
        <v>47</v>
      </c>
      <c r="AK10" s="12"/>
      <c r="AL10" s="48"/>
      <c r="AM10" s="56" t="s">
        <v>48</v>
      </c>
      <c r="AN10" s="57"/>
      <c r="AO10" s="58"/>
      <c r="AP10" s="48"/>
      <c r="AQ10" s="59" t="s">
        <v>49</v>
      </c>
      <c r="AR10" s="14"/>
    </row>
    <row r="11" spans="1:125" ht="15.75" customHeight="1" x14ac:dyDescent="0.2">
      <c r="A11" s="25"/>
      <c r="B11" s="2" t="s">
        <v>58</v>
      </c>
      <c r="D11" s="645">
        <f>'General Information'!J3</f>
        <v>0</v>
      </c>
      <c r="E11" s="645"/>
      <c r="F11" s="645"/>
      <c r="G11" s="645"/>
      <c r="H11" s="645"/>
      <c r="I11" s="645"/>
      <c r="J11" s="645"/>
      <c r="K11" s="645"/>
      <c r="S11" s="15"/>
      <c r="T11" s="28"/>
      <c r="U11" s="55" t="s">
        <v>51</v>
      </c>
      <c r="V11" s="24" t="s">
        <v>29</v>
      </c>
      <c r="W11" s="48"/>
      <c r="X11" s="49" t="s">
        <v>52</v>
      </c>
      <c r="Y11" s="50"/>
      <c r="Z11" s="49"/>
      <c r="AA11" s="48"/>
      <c r="AB11" s="51" t="s">
        <v>53</v>
      </c>
      <c r="AC11" s="51"/>
      <c r="AD11" s="52"/>
      <c r="AE11" s="48"/>
      <c r="AF11" s="49" t="s">
        <v>54</v>
      </c>
      <c r="AG11" s="53"/>
      <c r="AH11" s="54"/>
      <c r="AI11" s="48"/>
      <c r="AJ11" s="45" t="s">
        <v>55</v>
      </c>
      <c r="AK11" s="12"/>
      <c r="AL11" s="48"/>
      <c r="AM11" s="56" t="s">
        <v>56</v>
      </c>
      <c r="AN11" s="57"/>
      <c r="AO11" s="58"/>
      <c r="AP11" s="48"/>
      <c r="AQ11" s="59" t="s">
        <v>57</v>
      </c>
      <c r="AR11" s="14"/>
    </row>
    <row r="12" spans="1:125" ht="15.75" customHeight="1" x14ac:dyDescent="0.2">
      <c r="A12" s="25"/>
      <c r="B12" s="2"/>
      <c r="D12" s="60"/>
      <c r="E12" s="60"/>
      <c r="F12" s="60"/>
      <c r="G12" s="60"/>
      <c r="H12" s="60"/>
      <c r="I12" s="60"/>
      <c r="J12" s="60"/>
      <c r="S12" s="15"/>
      <c r="T12" s="28"/>
      <c r="U12" s="30" t="s">
        <v>59</v>
      </c>
      <c r="V12" s="24" t="s">
        <v>20</v>
      </c>
      <c r="W12" s="47"/>
      <c r="X12" s="43" t="s">
        <v>60</v>
      </c>
      <c r="Y12" s="44"/>
      <c r="Z12" s="43"/>
      <c r="AA12" s="47"/>
      <c r="AB12" s="45" t="s">
        <v>61</v>
      </c>
      <c r="AC12" s="45"/>
      <c r="AD12" s="12"/>
      <c r="AE12" s="47"/>
      <c r="AF12" s="43" t="s">
        <v>62</v>
      </c>
      <c r="AG12" s="46"/>
      <c r="AH12" s="13"/>
      <c r="AI12" s="47"/>
      <c r="AJ12" s="45" t="s">
        <v>63</v>
      </c>
      <c r="AK12" s="12"/>
      <c r="AL12" s="47"/>
      <c r="AM12" s="56" t="s">
        <v>64</v>
      </c>
      <c r="AN12" s="57"/>
      <c r="AO12" s="61"/>
      <c r="AP12" s="47"/>
      <c r="AQ12" s="59" t="s">
        <v>65</v>
      </c>
      <c r="AR12" s="14"/>
    </row>
    <row r="13" spans="1:125" ht="15.75" customHeight="1" thickBot="1" x14ac:dyDescent="0.25">
      <c r="A13" s="25"/>
      <c r="B13" s="62" t="s">
        <v>80</v>
      </c>
      <c r="C13" s="63"/>
      <c r="D13" s="64"/>
      <c r="E13" s="65"/>
      <c r="F13" s="64"/>
      <c r="G13" s="64"/>
      <c r="H13" s="64"/>
      <c r="I13" s="64"/>
      <c r="J13" s="64"/>
      <c r="K13" s="66"/>
      <c r="L13" s="66"/>
      <c r="M13" s="66"/>
      <c r="N13" s="66"/>
      <c r="O13" s="66"/>
      <c r="P13" s="66"/>
      <c r="Q13" s="66"/>
      <c r="R13" s="66"/>
      <c r="S13" s="15"/>
      <c r="T13" s="28"/>
      <c r="U13" s="55" t="s">
        <v>66</v>
      </c>
      <c r="V13" s="24" t="s">
        <v>20</v>
      </c>
      <c r="W13" s="47"/>
      <c r="X13" s="43" t="s">
        <v>67</v>
      </c>
      <c r="Y13" s="44"/>
      <c r="Z13" s="43"/>
      <c r="AA13" s="47"/>
      <c r="AB13" s="45" t="s">
        <v>68</v>
      </c>
      <c r="AC13" s="45"/>
      <c r="AD13" s="12"/>
      <c r="AE13" s="47"/>
      <c r="AF13" s="43" t="s">
        <v>69</v>
      </c>
      <c r="AG13" s="46"/>
      <c r="AH13" s="13"/>
      <c r="AI13" s="47"/>
      <c r="AJ13" s="45" t="s">
        <v>70</v>
      </c>
      <c r="AK13" s="12"/>
      <c r="AL13" s="47"/>
      <c r="AM13" s="56" t="s">
        <v>71</v>
      </c>
      <c r="AN13" s="57"/>
      <c r="AO13" s="58"/>
      <c r="AP13" s="47"/>
      <c r="AQ13" s="59" t="s">
        <v>72</v>
      </c>
      <c r="AR13" s="14"/>
    </row>
    <row r="14" spans="1:125" ht="15.75" customHeight="1" x14ac:dyDescent="0.2">
      <c r="A14" s="25"/>
      <c r="B14" s="624" t="s">
        <v>88</v>
      </c>
      <c r="C14" s="624"/>
      <c r="D14" s="624"/>
      <c r="E14" s="67" t="s">
        <v>89</v>
      </c>
      <c r="F14" s="67"/>
      <c r="G14" s="67" t="s">
        <v>90</v>
      </c>
      <c r="H14" s="68"/>
      <c r="I14" s="69" t="s">
        <v>11</v>
      </c>
      <c r="J14" s="68"/>
      <c r="K14" s="68" t="s">
        <v>88</v>
      </c>
      <c r="L14" s="68"/>
      <c r="M14" s="68"/>
      <c r="N14" s="67" t="s">
        <v>89</v>
      </c>
      <c r="O14" s="67"/>
      <c r="P14" s="68" t="s">
        <v>90</v>
      </c>
      <c r="Q14" s="68"/>
      <c r="R14" s="69" t="s">
        <v>11</v>
      </c>
      <c r="S14" s="15"/>
      <c r="T14" s="28"/>
      <c r="U14" s="55" t="s">
        <v>73</v>
      </c>
      <c r="V14" s="24" t="s">
        <v>20</v>
      </c>
      <c r="W14" s="47"/>
      <c r="X14" s="43" t="s">
        <v>74</v>
      </c>
      <c r="Y14" s="44"/>
      <c r="Z14" s="43"/>
      <c r="AA14" s="47"/>
      <c r="AB14" s="45" t="s">
        <v>75</v>
      </c>
      <c r="AC14" s="45"/>
      <c r="AD14" s="12"/>
      <c r="AE14" s="47"/>
      <c r="AF14" s="43" t="s">
        <v>76</v>
      </c>
      <c r="AG14" s="46"/>
      <c r="AH14" s="13"/>
      <c r="AI14" s="47"/>
      <c r="AJ14" s="45" t="s">
        <v>77</v>
      </c>
      <c r="AK14" s="12"/>
      <c r="AL14" s="47"/>
      <c r="AM14" s="56" t="s">
        <v>78</v>
      </c>
      <c r="AN14" s="57"/>
      <c r="AO14" s="58"/>
      <c r="AP14" s="47"/>
      <c r="AQ14" s="59" t="s">
        <v>79</v>
      </c>
      <c r="AR14" s="14"/>
    </row>
    <row r="15" spans="1:125" ht="15.75" customHeight="1" x14ac:dyDescent="0.2">
      <c r="A15" s="25"/>
      <c r="B15" s="623" t="s">
        <v>702</v>
      </c>
      <c r="C15" s="623"/>
      <c r="D15" s="623"/>
      <c r="E15" s="73"/>
      <c r="F15" s="74"/>
      <c r="G15" s="2" t="s">
        <v>29</v>
      </c>
      <c r="J15" s="75"/>
      <c r="K15" s="623" t="s">
        <v>93</v>
      </c>
      <c r="L15" s="623"/>
      <c r="M15" s="623"/>
      <c r="N15" s="196"/>
      <c r="O15" s="74"/>
      <c r="P15" s="22" t="s">
        <v>20</v>
      </c>
      <c r="R15" s="43" t="s">
        <v>94</v>
      </c>
      <c r="S15" s="15"/>
      <c r="T15" s="28"/>
      <c r="U15" s="55" t="s">
        <v>81</v>
      </c>
      <c r="V15" s="24" t="s">
        <v>20</v>
      </c>
      <c r="W15" s="47"/>
      <c r="X15" s="43" t="s">
        <v>82</v>
      </c>
      <c r="Y15" s="44"/>
      <c r="Z15" s="43"/>
      <c r="AA15" s="47"/>
      <c r="AB15" s="45" t="s">
        <v>83</v>
      </c>
      <c r="AC15" s="45"/>
      <c r="AD15" s="12"/>
      <c r="AE15" s="47"/>
      <c r="AF15" s="43" t="s">
        <v>84</v>
      </c>
      <c r="AG15" s="46"/>
      <c r="AH15" s="13"/>
      <c r="AI15" s="47"/>
      <c r="AJ15" s="45" t="s">
        <v>85</v>
      </c>
      <c r="AK15" s="12"/>
      <c r="AL15" s="47"/>
      <c r="AM15" s="56" t="s">
        <v>86</v>
      </c>
      <c r="AN15" s="57"/>
      <c r="AO15" s="58"/>
      <c r="AP15" s="47"/>
      <c r="AQ15" s="59" t="s">
        <v>87</v>
      </c>
      <c r="AR15" s="14"/>
    </row>
    <row r="16" spans="1:125" ht="15.75" customHeight="1" x14ac:dyDescent="0.15">
      <c r="A16" s="25"/>
      <c r="B16" s="623" t="s">
        <v>722</v>
      </c>
      <c r="C16" s="623"/>
      <c r="D16" s="623"/>
      <c r="E16" s="74">
        <v>1</v>
      </c>
      <c r="F16" s="74"/>
      <c r="G16" s="2"/>
      <c r="J16" s="75"/>
      <c r="K16" s="623" t="s">
        <v>99</v>
      </c>
      <c r="L16" s="623"/>
      <c r="M16" s="623"/>
      <c r="N16" s="196"/>
      <c r="O16" s="74"/>
      <c r="P16" s="22" t="s">
        <v>20</v>
      </c>
      <c r="R16" s="43" t="s">
        <v>100</v>
      </c>
      <c r="S16" s="15"/>
      <c r="T16" s="28"/>
      <c r="U16" s="55" t="s">
        <v>91</v>
      </c>
      <c r="V16" s="24" t="s">
        <v>92</v>
      </c>
      <c r="W16" s="626"/>
      <c r="X16" s="626"/>
      <c r="Y16" s="70"/>
      <c r="Z16" s="71"/>
      <c r="AA16" s="72"/>
      <c r="AB16" s="45"/>
      <c r="AC16" s="45"/>
      <c r="AD16" s="12"/>
      <c r="AE16" s="626"/>
      <c r="AF16" s="626"/>
      <c r="AG16" s="46"/>
      <c r="AH16" s="13"/>
      <c r="AI16" s="72"/>
      <c r="AJ16" s="21"/>
      <c r="AK16" s="12"/>
      <c r="AL16" s="626"/>
      <c r="AM16" s="626"/>
      <c r="AN16" s="46"/>
      <c r="AO16" s="13"/>
      <c r="AP16" s="13"/>
      <c r="AQ16" s="21"/>
      <c r="AR16" s="14"/>
    </row>
    <row r="17" spans="1:44" ht="15.75" customHeight="1" x14ac:dyDescent="0.2">
      <c r="A17" s="25"/>
      <c r="B17" s="1" t="s">
        <v>772</v>
      </c>
      <c r="E17" s="625"/>
      <c r="F17" s="625"/>
      <c r="G17" s="625"/>
      <c r="J17" s="75"/>
      <c r="K17" s="623" t="s">
        <v>104</v>
      </c>
      <c r="L17" s="623"/>
      <c r="M17" s="623"/>
      <c r="N17" s="196"/>
      <c r="O17" s="74"/>
      <c r="P17" s="22" t="s">
        <v>20</v>
      </c>
      <c r="R17" s="43" t="s">
        <v>105</v>
      </c>
      <c r="S17" s="15"/>
      <c r="T17" s="28"/>
      <c r="U17" s="30" t="s">
        <v>95</v>
      </c>
      <c r="V17" s="24" t="s">
        <v>20</v>
      </c>
      <c r="W17" s="76"/>
      <c r="X17" s="2"/>
      <c r="Y17" s="77"/>
      <c r="Z17" s="2"/>
      <c r="AA17" s="47"/>
      <c r="AB17" s="45" t="s">
        <v>96</v>
      </c>
      <c r="AC17" s="45"/>
      <c r="AD17" s="12"/>
      <c r="AE17" s="76"/>
      <c r="AF17" s="43"/>
      <c r="AG17" s="46"/>
      <c r="AH17" s="13"/>
      <c r="AI17" s="78">
        <f>AA17</f>
        <v>0</v>
      </c>
      <c r="AJ17" s="45" t="s">
        <v>97</v>
      </c>
      <c r="AK17" s="12"/>
      <c r="AL17" s="2"/>
      <c r="AM17" s="43"/>
      <c r="AN17" s="46"/>
      <c r="AO17" s="13"/>
      <c r="AP17" s="47"/>
      <c r="AQ17" s="45" t="s">
        <v>98</v>
      </c>
      <c r="AR17" s="14"/>
    </row>
    <row r="18" spans="1:44" ht="15" customHeight="1" x14ac:dyDescent="0.2">
      <c r="A18" s="25"/>
      <c r="B18" s="623" t="s">
        <v>815</v>
      </c>
      <c r="C18" s="623"/>
      <c r="D18" s="623"/>
      <c r="E18" s="241"/>
      <c r="F18" s="87"/>
      <c r="G18" s="2" t="s">
        <v>113</v>
      </c>
      <c r="I18" s="22" t="s">
        <v>929</v>
      </c>
      <c r="J18" s="75"/>
      <c r="K18" s="623" t="s">
        <v>108</v>
      </c>
      <c r="L18" s="623"/>
      <c r="M18" s="623"/>
      <c r="N18" s="196"/>
      <c r="O18" s="74"/>
      <c r="P18" s="22" t="s">
        <v>20</v>
      </c>
      <c r="R18" s="43" t="s">
        <v>109</v>
      </c>
      <c r="S18" s="15"/>
      <c r="T18" s="28"/>
      <c r="U18" s="30" t="s">
        <v>791</v>
      </c>
      <c r="V18" s="24" t="s">
        <v>781</v>
      </c>
      <c r="W18" s="76"/>
      <c r="X18" s="2"/>
      <c r="Y18" s="77"/>
      <c r="Z18" s="2"/>
      <c r="AA18" s="398"/>
      <c r="AB18" s="45" t="s">
        <v>793</v>
      </c>
      <c r="AC18" s="45"/>
      <c r="AD18" s="12"/>
      <c r="AE18" s="76"/>
      <c r="AF18" s="43"/>
      <c r="AG18" s="46"/>
      <c r="AH18" s="13"/>
      <c r="AI18" s="398"/>
      <c r="AJ18" s="45" t="s">
        <v>796</v>
      </c>
      <c r="AK18" s="12"/>
      <c r="AL18" s="2"/>
      <c r="AM18" s="43"/>
      <c r="AN18" s="46"/>
      <c r="AO18" s="13"/>
      <c r="AP18" s="398"/>
      <c r="AQ18" s="45" t="s">
        <v>799</v>
      </c>
      <c r="AR18" s="14"/>
    </row>
    <row r="19" spans="1:44" ht="15" customHeight="1" x14ac:dyDescent="0.2">
      <c r="A19" s="25"/>
      <c r="B19" s="623" t="s">
        <v>101</v>
      </c>
      <c r="C19" s="623"/>
      <c r="D19" s="623"/>
      <c r="E19" s="83">
        <f>'General Information'!L21</f>
        <v>0</v>
      </c>
      <c r="F19" s="84"/>
      <c r="G19" s="2" t="s">
        <v>102</v>
      </c>
      <c r="I19" s="22" t="s">
        <v>103</v>
      </c>
      <c r="J19" s="75"/>
      <c r="K19" s="623" t="s">
        <v>114</v>
      </c>
      <c r="L19" s="623"/>
      <c r="M19" s="623"/>
      <c r="N19" s="196"/>
      <c r="O19" s="74"/>
      <c r="P19" s="22" t="s">
        <v>20</v>
      </c>
      <c r="R19" s="43" t="s">
        <v>115</v>
      </c>
      <c r="S19" s="15"/>
      <c r="T19" s="10"/>
      <c r="U19" s="251" t="s">
        <v>792</v>
      </c>
      <c r="V19" s="24" t="s">
        <v>781</v>
      </c>
      <c r="W19" s="76"/>
      <c r="X19" s="2"/>
      <c r="Y19" s="77"/>
      <c r="Z19" s="2">
        <v>10</v>
      </c>
      <c r="AA19" s="398"/>
      <c r="AB19" s="45" t="s">
        <v>794</v>
      </c>
      <c r="AC19" s="45"/>
      <c r="AD19" s="12"/>
      <c r="AE19" s="76"/>
      <c r="AF19" s="43"/>
      <c r="AG19" s="46"/>
      <c r="AH19" s="13"/>
      <c r="AI19" s="398"/>
      <c r="AJ19" s="45" t="s">
        <v>797</v>
      </c>
      <c r="AK19" s="12"/>
      <c r="AL19" s="2"/>
      <c r="AM19" s="43"/>
      <c r="AN19" s="46"/>
      <c r="AO19" s="13"/>
      <c r="AP19" s="398"/>
      <c r="AQ19" s="45" t="s">
        <v>800</v>
      </c>
      <c r="AR19" s="14"/>
    </row>
    <row r="20" spans="1:44" ht="15" customHeight="1" x14ac:dyDescent="0.2">
      <c r="A20" s="25"/>
      <c r="B20" s="623" t="s">
        <v>106</v>
      </c>
      <c r="C20" s="623"/>
      <c r="D20" s="623"/>
      <c r="E20" s="85">
        <f>'General Information'!L22</f>
        <v>0</v>
      </c>
      <c r="F20" s="84"/>
      <c r="G20" s="2" t="s">
        <v>102</v>
      </c>
      <c r="I20" s="22" t="s">
        <v>107</v>
      </c>
      <c r="J20" s="75"/>
      <c r="K20" s="623" t="s">
        <v>117</v>
      </c>
      <c r="L20" s="623"/>
      <c r="M20" s="623"/>
      <c r="N20" s="195">
        <f>'General Information'!C20</f>
        <v>0</v>
      </c>
      <c r="O20" s="74"/>
      <c r="P20" s="22" t="s">
        <v>29</v>
      </c>
      <c r="R20" s="43" t="s">
        <v>118</v>
      </c>
      <c r="S20" s="15"/>
      <c r="T20" s="10"/>
      <c r="U20" s="251" t="s">
        <v>789</v>
      </c>
      <c r="V20" s="24" t="s">
        <v>790</v>
      </c>
      <c r="W20" s="371"/>
      <c r="X20" s="372"/>
      <c r="Y20" s="374"/>
      <c r="Z20" s="372"/>
      <c r="AA20" s="399"/>
      <c r="AB20" s="45" t="s">
        <v>795</v>
      </c>
      <c r="AC20" s="45"/>
      <c r="AD20" s="82"/>
      <c r="AE20" s="371"/>
      <c r="AF20" s="372"/>
      <c r="AG20" s="383"/>
      <c r="AH20" s="369"/>
      <c r="AI20" s="399"/>
      <c r="AJ20" s="45" t="s">
        <v>798</v>
      </c>
      <c r="AK20" s="82"/>
      <c r="AL20" s="371"/>
      <c r="AM20" s="372"/>
      <c r="AN20" s="383"/>
      <c r="AO20" s="369"/>
      <c r="AP20" s="399"/>
      <c r="AQ20" s="45" t="s">
        <v>801</v>
      </c>
      <c r="AR20" s="14"/>
    </row>
    <row r="21" spans="1:44" ht="15" customHeight="1" x14ac:dyDescent="0.2">
      <c r="A21" s="25"/>
      <c r="B21" s="627" t="s">
        <v>783</v>
      </c>
      <c r="C21" s="627"/>
      <c r="D21" s="627"/>
      <c r="F21" s="87"/>
      <c r="I21" s="1"/>
      <c r="J21" s="75"/>
      <c r="K21" s="96" t="s">
        <v>780</v>
      </c>
      <c r="L21" s="43"/>
      <c r="M21" s="43"/>
      <c r="N21" s="454"/>
      <c r="O21" s="43"/>
      <c r="P21" s="43" t="s">
        <v>781</v>
      </c>
      <c r="Q21" s="43"/>
      <c r="R21" s="43" t="s">
        <v>786</v>
      </c>
      <c r="S21" s="15"/>
      <c r="T21" s="10"/>
      <c r="U21" s="436" t="s">
        <v>943</v>
      </c>
      <c r="V21" s="437" t="s">
        <v>29</v>
      </c>
      <c r="W21" s="373"/>
      <c r="X21" s="372"/>
      <c r="Y21" s="372"/>
      <c r="Z21" s="438"/>
      <c r="AA21" s="458"/>
      <c r="AB21" s="439" t="s">
        <v>944</v>
      </c>
      <c r="AC21" s="45"/>
      <c r="AD21" s="82"/>
      <c r="AE21" s="440"/>
      <c r="AF21" s="372"/>
      <c r="AG21" s="372"/>
      <c r="AH21" s="441"/>
      <c r="AI21" s="458"/>
      <c r="AJ21" s="439" t="s">
        <v>945</v>
      </c>
      <c r="AK21" s="369"/>
      <c r="AL21" s="440"/>
      <c r="AM21" s="372"/>
      <c r="AN21" s="374"/>
      <c r="AO21" s="372"/>
      <c r="AP21" s="458"/>
      <c r="AQ21" s="439" t="s">
        <v>946</v>
      </c>
      <c r="AR21" s="14"/>
    </row>
    <row r="22" spans="1:44" ht="15" customHeight="1" x14ac:dyDescent="0.15">
      <c r="A22" s="25"/>
      <c r="B22" s="250" t="s">
        <v>782</v>
      </c>
      <c r="C22" s="243"/>
      <c r="D22" s="243"/>
      <c r="E22" s="83">
        <f>E20*(1-E18)-(E18*((N20-E15)*4.2+2260))</f>
        <v>0</v>
      </c>
      <c r="F22" s="87"/>
      <c r="G22" s="2" t="s">
        <v>102</v>
      </c>
      <c r="I22" s="22" t="s">
        <v>928</v>
      </c>
      <c r="J22" s="75"/>
      <c r="K22" s="96"/>
      <c r="L22" s="43"/>
      <c r="M22" s="244" t="s">
        <v>784</v>
      </c>
      <c r="N22" s="454"/>
      <c r="O22" s="43"/>
      <c r="P22" s="43" t="s">
        <v>781</v>
      </c>
      <c r="Q22" s="43"/>
      <c r="R22" s="43" t="s">
        <v>787</v>
      </c>
      <c r="S22" s="15"/>
      <c r="T22" s="10"/>
      <c r="U22" s="251" t="s">
        <v>954</v>
      </c>
      <c r="V22" s="24" t="s">
        <v>20</v>
      </c>
      <c r="W22" s="76"/>
      <c r="X22" s="2"/>
      <c r="Y22" s="77"/>
      <c r="Z22" s="2"/>
      <c r="AA22" s="398"/>
      <c r="AB22" s="389" t="s">
        <v>914</v>
      </c>
      <c r="AC22" s="45"/>
      <c r="AD22" s="12"/>
      <c r="AE22" s="76"/>
      <c r="AF22" s="43"/>
      <c r="AG22" s="46"/>
      <c r="AH22" s="13"/>
      <c r="AI22" s="398"/>
      <c r="AJ22" s="451" t="s">
        <v>968</v>
      </c>
      <c r="AK22" s="21"/>
      <c r="AL22" s="2"/>
      <c r="AM22" s="43"/>
      <c r="AN22" s="46"/>
      <c r="AO22" s="13"/>
      <c r="AP22" s="398"/>
      <c r="AQ22" s="391" t="s">
        <v>916</v>
      </c>
      <c r="AR22" s="14"/>
    </row>
    <row r="23" spans="1:44" ht="15" customHeight="1" x14ac:dyDescent="0.15">
      <c r="A23" s="25"/>
      <c r="B23" s="622" t="s">
        <v>736</v>
      </c>
      <c r="C23" s="622"/>
      <c r="D23" s="622"/>
      <c r="E23" s="83">
        <f>'General Information'!L11</f>
        <v>0</v>
      </c>
      <c r="F23" s="2"/>
      <c r="G23" s="2" t="s">
        <v>102</v>
      </c>
      <c r="J23" s="75"/>
      <c r="K23" s="96"/>
      <c r="L23" s="43"/>
      <c r="M23" s="244" t="s">
        <v>785</v>
      </c>
      <c r="N23" s="454"/>
      <c r="O23" s="43"/>
      <c r="P23" s="43" t="s">
        <v>790</v>
      </c>
      <c r="Q23" s="43"/>
      <c r="R23" s="43" t="s">
        <v>788</v>
      </c>
      <c r="S23" s="15"/>
      <c r="T23" s="10"/>
      <c r="U23" s="251" t="s">
        <v>955</v>
      </c>
      <c r="V23" s="24" t="s">
        <v>20</v>
      </c>
      <c r="W23" s="76"/>
      <c r="X23" s="2"/>
      <c r="Y23" s="77"/>
      <c r="Z23" s="2">
        <v>10</v>
      </c>
      <c r="AA23" s="398"/>
      <c r="AB23" s="390" t="s">
        <v>911</v>
      </c>
      <c r="AC23" s="45"/>
      <c r="AD23" s="12"/>
      <c r="AE23" s="76"/>
      <c r="AF23" s="43"/>
      <c r="AG23" s="46"/>
      <c r="AH23" s="13"/>
      <c r="AI23" s="398"/>
      <c r="AJ23" s="358" t="s">
        <v>912</v>
      </c>
      <c r="AK23" s="12"/>
      <c r="AL23" s="2"/>
      <c r="AM23" s="43"/>
      <c r="AN23" s="46"/>
      <c r="AO23" s="13"/>
      <c r="AP23" s="398"/>
      <c r="AQ23" s="391" t="s">
        <v>913</v>
      </c>
      <c r="AR23" s="14"/>
    </row>
    <row r="24" spans="1:44" ht="15.75" customHeight="1" thickBot="1" x14ac:dyDescent="0.2">
      <c r="A24" s="25"/>
      <c r="D24" s="97"/>
      <c r="E24" s="98"/>
      <c r="F24" s="2"/>
      <c r="G24" s="2"/>
      <c r="K24" s="96"/>
      <c r="L24" s="43"/>
      <c r="M24" s="43"/>
      <c r="N24" s="43"/>
      <c r="O24" s="43"/>
      <c r="P24" s="43"/>
      <c r="Q24" s="43"/>
      <c r="R24" s="43"/>
      <c r="S24" s="15"/>
      <c r="T24" s="10"/>
      <c r="U24" s="442" t="s">
        <v>956</v>
      </c>
      <c r="V24" s="37" t="s">
        <v>20</v>
      </c>
      <c r="W24" s="79"/>
      <c r="X24" s="80"/>
      <c r="Y24" s="81"/>
      <c r="Z24" s="80"/>
      <c r="AA24" s="443"/>
      <c r="AB24" s="444" t="s">
        <v>908</v>
      </c>
      <c r="AC24" s="445"/>
      <c r="AD24" s="446"/>
      <c r="AE24" s="79"/>
      <c r="AF24" s="80"/>
      <c r="AG24" s="447"/>
      <c r="AH24" s="448"/>
      <c r="AI24" s="443"/>
      <c r="AJ24" s="449" t="s">
        <v>909</v>
      </c>
      <c r="AK24" s="446"/>
      <c r="AL24" s="79"/>
      <c r="AM24" s="80"/>
      <c r="AN24" s="447"/>
      <c r="AO24" s="448"/>
      <c r="AP24" s="443"/>
      <c r="AQ24" s="450" t="s">
        <v>910</v>
      </c>
      <c r="AR24" s="14"/>
    </row>
    <row r="25" spans="1:44" ht="15.75" customHeight="1" thickBot="1" x14ac:dyDescent="0.2">
      <c r="A25" s="25"/>
      <c r="B25" s="99" t="s">
        <v>737</v>
      </c>
      <c r="C25" s="100"/>
      <c r="D25" s="101"/>
      <c r="E25" s="646"/>
      <c r="F25" s="646"/>
      <c r="G25" s="646"/>
      <c r="H25" s="646"/>
      <c r="I25" s="646"/>
      <c r="J25" s="646"/>
      <c r="K25" s="646"/>
      <c r="L25" s="646"/>
      <c r="M25" s="646"/>
      <c r="N25" s="646"/>
      <c r="O25" s="646"/>
      <c r="P25" s="646"/>
      <c r="Q25" s="646"/>
      <c r="R25" s="647"/>
      <c r="S25" s="15"/>
      <c r="T25" s="10"/>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14"/>
    </row>
    <row r="26" spans="1:44" ht="15.75" customHeight="1" x14ac:dyDescent="0.15">
      <c r="A26" s="25"/>
      <c r="B26" s="616"/>
      <c r="C26" s="617"/>
      <c r="D26" s="617"/>
      <c r="E26" s="617"/>
      <c r="F26" s="617"/>
      <c r="G26" s="617"/>
      <c r="H26" s="617"/>
      <c r="I26" s="617"/>
      <c r="J26" s="617"/>
      <c r="K26" s="617"/>
      <c r="L26" s="617"/>
      <c r="M26" s="617"/>
      <c r="N26" s="617"/>
      <c r="O26" s="617"/>
      <c r="P26" s="617"/>
      <c r="Q26" s="617"/>
      <c r="R26" s="618"/>
      <c r="S26" s="15"/>
      <c r="T26" s="10"/>
      <c r="U26" s="377"/>
      <c r="V26" s="13"/>
      <c r="W26" s="86" t="s">
        <v>110</v>
      </c>
      <c r="X26" s="13"/>
      <c r="Y26" s="23"/>
      <c r="Z26" s="13"/>
      <c r="AA26" s="86" t="s">
        <v>111</v>
      </c>
      <c r="AB26" s="13"/>
      <c r="AC26" s="13"/>
      <c r="AD26" s="21"/>
      <c r="AE26" s="118" t="s">
        <v>964</v>
      </c>
      <c r="AF26" s="13"/>
      <c r="AG26" s="13"/>
      <c r="AH26" s="13"/>
      <c r="AI26" s="13"/>
      <c r="AJ26" s="13"/>
      <c r="AK26" s="13"/>
      <c r="AL26" s="13"/>
      <c r="AM26" s="13"/>
      <c r="AN26" s="13"/>
      <c r="AO26" s="13"/>
      <c r="AP26" s="13"/>
      <c r="AQ26" s="13"/>
      <c r="AR26" s="385"/>
    </row>
    <row r="27" spans="1:44" ht="15.75" customHeight="1" x14ac:dyDescent="0.15">
      <c r="A27" s="25"/>
      <c r="B27" s="616"/>
      <c r="C27" s="617"/>
      <c r="D27" s="617"/>
      <c r="E27" s="617"/>
      <c r="F27" s="617"/>
      <c r="G27" s="617"/>
      <c r="H27" s="617"/>
      <c r="I27" s="617"/>
      <c r="J27" s="617"/>
      <c r="K27" s="617"/>
      <c r="L27" s="617"/>
      <c r="M27" s="617"/>
      <c r="N27" s="617"/>
      <c r="O27" s="617"/>
      <c r="P27" s="617"/>
      <c r="Q27" s="617"/>
      <c r="R27" s="618"/>
      <c r="S27" s="15"/>
      <c r="T27" s="10"/>
      <c r="U27" s="378" t="s">
        <v>116</v>
      </c>
      <c r="V27" s="89" t="s">
        <v>9</v>
      </c>
      <c r="W27" s="89" t="s">
        <v>10</v>
      </c>
      <c r="X27" s="89" t="s">
        <v>11</v>
      </c>
      <c r="Y27" s="46"/>
      <c r="Z27" s="13"/>
      <c r="AA27" s="89" t="s">
        <v>10</v>
      </c>
      <c r="AB27" s="89" t="s">
        <v>11</v>
      </c>
      <c r="AC27" s="89"/>
      <c r="AD27" s="21"/>
      <c r="AE27" s="90" t="s">
        <v>116</v>
      </c>
      <c r="AF27" s="13"/>
      <c r="AG27" s="13"/>
      <c r="AH27" s="13"/>
      <c r="AI27" s="13"/>
      <c r="AJ27" s="13"/>
      <c r="AK27" s="13"/>
      <c r="AL27" s="13"/>
      <c r="AM27" s="89" t="s">
        <v>9</v>
      </c>
      <c r="AN27" s="13"/>
      <c r="AO27" s="13"/>
      <c r="AP27" s="89" t="s">
        <v>10</v>
      </c>
      <c r="AQ27" s="89" t="s">
        <v>11</v>
      </c>
      <c r="AR27" s="14"/>
    </row>
    <row r="28" spans="1:44" ht="15.75" customHeight="1" x14ac:dyDescent="0.2">
      <c r="A28" s="25"/>
      <c r="B28" s="616"/>
      <c r="C28" s="617"/>
      <c r="D28" s="617"/>
      <c r="E28" s="617"/>
      <c r="F28" s="617"/>
      <c r="G28" s="617"/>
      <c r="H28" s="617"/>
      <c r="I28" s="617"/>
      <c r="J28" s="617"/>
      <c r="K28" s="617"/>
      <c r="L28" s="617"/>
      <c r="M28" s="617"/>
      <c r="N28" s="617"/>
      <c r="O28" s="617"/>
      <c r="P28" s="617"/>
      <c r="Q28" s="617"/>
      <c r="R28" s="618"/>
      <c r="S28" s="15"/>
      <c r="T28" s="10"/>
      <c r="U28" s="379" t="s">
        <v>874</v>
      </c>
      <c r="V28" s="92" t="s">
        <v>20</v>
      </c>
      <c r="W28" s="93">
        <f>W7-AA7</f>
        <v>0</v>
      </c>
      <c r="X28" s="56" t="s">
        <v>119</v>
      </c>
      <c r="Y28" s="57"/>
      <c r="Z28" s="61"/>
      <c r="AA28" s="93">
        <f>AE7-AI7</f>
        <v>0</v>
      </c>
      <c r="AB28" s="56" t="s">
        <v>120</v>
      </c>
      <c r="AC28" s="56"/>
      <c r="AD28" s="21"/>
      <c r="AE28" s="95" t="s">
        <v>876</v>
      </c>
      <c r="AF28" s="61"/>
      <c r="AG28" s="61"/>
      <c r="AH28" s="61"/>
      <c r="AI28" s="61"/>
      <c r="AJ28" s="61"/>
      <c r="AK28" s="61"/>
      <c r="AL28" s="61"/>
      <c r="AM28" s="92" t="s">
        <v>20</v>
      </c>
      <c r="AN28" s="61"/>
      <c r="AO28" s="61"/>
      <c r="AP28" s="93">
        <f>AL7-AP7</f>
        <v>0</v>
      </c>
      <c r="AQ28" s="56" t="s">
        <v>121</v>
      </c>
      <c r="AR28" s="14"/>
    </row>
    <row r="29" spans="1:44" ht="15.75" customHeight="1" x14ac:dyDescent="0.2">
      <c r="A29" s="25"/>
      <c r="B29" s="616"/>
      <c r="C29" s="617"/>
      <c r="D29" s="617"/>
      <c r="E29" s="617"/>
      <c r="F29" s="617"/>
      <c r="G29" s="617"/>
      <c r="H29" s="617"/>
      <c r="I29" s="617"/>
      <c r="J29" s="617"/>
      <c r="K29" s="617"/>
      <c r="L29" s="617"/>
      <c r="M29" s="617"/>
      <c r="N29" s="617"/>
      <c r="O29" s="617"/>
      <c r="P29" s="617"/>
      <c r="Q29" s="617"/>
      <c r="R29" s="618"/>
      <c r="S29" s="15"/>
      <c r="T29" s="10"/>
      <c r="U29" s="379" t="s">
        <v>122</v>
      </c>
      <c r="V29" s="92" t="s">
        <v>20</v>
      </c>
      <c r="W29" s="93">
        <f>AA17-$N$19</f>
        <v>0</v>
      </c>
      <c r="X29" s="56" t="s">
        <v>123</v>
      </c>
      <c r="Y29" s="57"/>
      <c r="Z29" s="61"/>
      <c r="AA29" s="93">
        <f>IF(AA28=0,0,AI17-$N$19)</f>
        <v>0</v>
      </c>
      <c r="AB29" s="56" t="s">
        <v>124</v>
      </c>
      <c r="AC29" s="56"/>
      <c r="AD29" s="94"/>
      <c r="AE29" s="95" t="s">
        <v>125</v>
      </c>
      <c r="AF29" s="61"/>
      <c r="AG29" s="61"/>
      <c r="AH29" s="61"/>
      <c r="AI29" s="61"/>
      <c r="AJ29" s="61"/>
      <c r="AK29" s="61"/>
      <c r="AL29" s="61"/>
      <c r="AM29" s="92" t="s">
        <v>20</v>
      </c>
      <c r="AN29" s="61"/>
      <c r="AO29" s="61"/>
      <c r="AP29" s="93">
        <f>(AP17-$N$19)-W29</f>
        <v>0</v>
      </c>
      <c r="AQ29" s="56" t="s">
        <v>126</v>
      </c>
      <c r="AR29" s="14"/>
    </row>
    <row r="30" spans="1:44" ht="15.75" customHeight="1" x14ac:dyDescent="0.2">
      <c r="A30" s="25"/>
      <c r="B30" s="616"/>
      <c r="C30" s="617"/>
      <c r="D30" s="617"/>
      <c r="E30" s="617"/>
      <c r="F30" s="617"/>
      <c r="G30" s="617"/>
      <c r="H30" s="617"/>
      <c r="I30" s="617"/>
      <c r="J30" s="617"/>
      <c r="K30" s="617"/>
      <c r="L30" s="617"/>
      <c r="M30" s="617"/>
      <c r="N30" s="617"/>
      <c r="O30" s="617"/>
      <c r="P30" s="617"/>
      <c r="Q30" s="617"/>
      <c r="R30" s="618"/>
      <c r="S30" s="15"/>
      <c r="T30" s="10"/>
      <c r="U30" s="379" t="s">
        <v>875</v>
      </c>
      <c r="V30" s="92" t="s">
        <v>20</v>
      </c>
      <c r="W30" s="327" t="e">
        <f>(W28*($E$20*(1-$E$18)-$E$18*(4.186*($N$20-$E$15)+2257))-W29*$E23)/$E$20</f>
        <v>#DIV/0!</v>
      </c>
      <c r="X30" s="328" t="s">
        <v>127</v>
      </c>
      <c r="Y30" s="329"/>
      <c r="Z30" s="330"/>
      <c r="AA30" s="327">
        <f>IF(AA28=0,0,(AA28*($E$20*(1-$E$18)-$E$18*(4.186*($N$20-$E$15)+2257))-AA29*$E23)/$E$20)</f>
        <v>0</v>
      </c>
      <c r="AB30" s="328" t="s">
        <v>128</v>
      </c>
      <c r="AC30" s="328"/>
      <c r="AD30" s="331"/>
      <c r="AE30" s="332" t="s">
        <v>875</v>
      </c>
      <c r="AF30" s="330"/>
      <c r="AG30" s="330"/>
      <c r="AH30" s="330"/>
      <c r="AI30" s="330"/>
      <c r="AJ30" s="330"/>
      <c r="AK30" s="330"/>
      <c r="AL30" s="330"/>
      <c r="AM30" s="333" t="s">
        <v>20</v>
      </c>
      <c r="AN30" s="330"/>
      <c r="AO30" s="330"/>
      <c r="AP30" s="327" t="e">
        <f>(AP28*($E$20*(1-$E$18)-$E$18*(4.186*($N$20-$E$15)+2257))-AP29*$E23)/$E$20</f>
        <v>#DIV/0!</v>
      </c>
      <c r="AQ30" s="56" t="s">
        <v>129</v>
      </c>
      <c r="AR30" s="14"/>
    </row>
    <row r="31" spans="1:44" ht="15.75" customHeight="1" x14ac:dyDescent="0.2">
      <c r="A31" s="25"/>
      <c r="B31" s="616"/>
      <c r="C31" s="617"/>
      <c r="D31" s="617"/>
      <c r="E31" s="617"/>
      <c r="F31" s="617"/>
      <c r="G31" s="617"/>
      <c r="H31" s="617"/>
      <c r="I31" s="617"/>
      <c r="J31" s="617"/>
      <c r="K31" s="617"/>
      <c r="L31" s="617"/>
      <c r="M31" s="617"/>
      <c r="N31" s="617"/>
      <c r="O31" s="617"/>
      <c r="P31" s="617"/>
      <c r="Q31" s="617"/>
      <c r="R31" s="618"/>
      <c r="S31" s="15"/>
      <c r="T31" s="10"/>
      <c r="U31" s="379" t="s">
        <v>130</v>
      </c>
      <c r="V31" s="92" t="s">
        <v>20</v>
      </c>
      <c r="W31" s="93">
        <f>SUM(W12:W15)-SUM(AA12:AA15)</f>
        <v>0</v>
      </c>
      <c r="X31" s="56" t="s">
        <v>131</v>
      </c>
      <c r="Y31" s="57"/>
      <c r="Z31" s="61"/>
      <c r="AA31" s="93">
        <f>SUM(AE12:AE15)-SUM(AI12:AI15)</f>
        <v>0</v>
      </c>
      <c r="AB31" s="56" t="s">
        <v>132</v>
      </c>
      <c r="AC31" s="56"/>
      <c r="AD31" s="94"/>
      <c r="AE31" s="95" t="s">
        <v>133</v>
      </c>
      <c r="AF31" s="61"/>
      <c r="AG31" s="61"/>
      <c r="AH31" s="61"/>
      <c r="AI31" s="61"/>
      <c r="AJ31" s="61"/>
      <c r="AK31" s="61"/>
      <c r="AL31" s="61"/>
      <c r="AM31" s="92" t="s">
        <v>20</v>
      </c>
      <c r="AN31" s="61"/>
      <c r="AO31" s="61"/>
      <c r="AP31" s="93">
        <f>(AL12-AP12)+(AL13-AP13)+(AL14-AP14)+(AL15-AP15)</f>
        <v>0</v>
      </c>
      <c r="AQ31" s="56" t="s">
        <v>134</v>
      </c>
      <c r="AR31" s="14"/>
    </row>
    <row r="32" spans="1:44" ht="15.75" customHeight="1" x14ac:dyDescent="0.2">
      <c r="A32" s="25"/>
      <c r="B32" s="616"/>
      <c r="C32" s="617"/>
      <c r="D32" s="617"/>
      <c r="E32" s="617"/>
      <c r="F32" s="617"/>
      <c r="G32" s="617"/>
      <c r="H32" s="617"/>
      <c r="I32" s="617"/>
      <c r="J32" s="617"/>
      <c r="K32" s="617"/>
      <c r="L32" s="617"/>
      <c r="M32" s="617"/>
      <c r="N32" s="617"/>
      <c r="O32" s="617"/>
      <c r="P32" s="617"/>
      <c r="Q32" s="617"/>
      <c r="R32" s="618"/>
      <c r="S32" s="15"/>
      <c r="T32" s="10"/>
      <c r="U32" s="379" t="s">
        <v>135</v>
      </c>
      <c r="V32" s="92" t="s">
        <v>20</v>
      </c>
      <c r="W32" s="93" t="e">
        <f>((AA12-$N15)*(AA8-W8)/($N$20-W8)+(AA13-$N16)*(AA9-W9)/($N$20-W9)+(AA14-$N17)*(AA10-W10)/($N$20-W10)+(AA15-$N18)*(AA11-W11)/($N$20-W11))</f>
        <v>#DIV/0!</v>
      </c>
      <c r="X32" s="56" t="s">
        <v>136</v>
      </c>
      <c r="Y32" s="57"/>
      <c r="Z32" s="61"/>
      <c r="AA32" s="93" t="e">
        <f>((AI12-$N15)*(AI8-AE8)/($N$20-AE8)+(AI13-$N16)*(AI9-AE9)/($N$20-AE9)+(AI14-$N17)*(AI10-AE10)/($N$20-AE10)+(AI15-$N18)*(AI11-AE11)/($N$20-AE11))</f>
        <v>#DIV/0!</v>
      </c>
      <c r="AB32" s="56" t="s">
        <v>137</v>
      </c>
      <c r="AC32" s="56"/>
      <c r="AD32" s="94"/>
      <c r="AE32" s="95" t="s">
        <v>138</v>
      </c>
      <c r="AF32" s="61"/>
      <c r="AG32" s="61"/>
      <c r="AH32" s="61"/>
      <c r="AI32" s="61"/>
      <c r="AJ32" s="61"/>
      <c r="AK32" s="61"/>
      <c r="AL32" s="61"/>
      <c r="AM32" s="92" t="s">
        <v>20</v>
      </c>
      <c r="AN32" s="61"/>
      <c r="AO32" s="61"/>
      <c r="AP32" s="93">
        <f>(AP12-$N$15+((AP9-25)/(N20-25))*(AP13-N16)+((AP10-25)/(N20-25))*(AP14-N17)+((AP11-25)/(N20-25))*(AP15-N18))</f>
        <v>0</v>
      </c>
      <c r="AQ32" s="56" t="s">
        <v>139</v>
      </c>
      <c r="AR32" s="14"/>
    </row>
    <row r="33" spans="1:122" ht="15.75" customHeight="1" x14ac:dyDescent="0.2">
      <c r="A33" s="25"/>
      <c r="B33" s="616"/>
      <c r="C33" s="617"/>
      <c r="D33" s="617"/>
      <c r="E33" s="617"/>
      <c r="F33" s="617"/>
      <c r="G33" s="617"/>
      <c r="H33" s="617"/>
      <c r="I33" s="617"/>
      <c r="J33" s="617"/>
      <c r="K33" s="617"/>
      <c r="L33" s="617"/>
      <c r="M33" s="617"/>
      <c r="N33" s="617"/>
      <c r="O33" s="617"/>
      <c r="P33" s="617"/>
      <c r="Q33" s="617"/>
      <c r="R33" s="618"/>
      <c r="S33" s="15"/>
      <c r="T33" s="10"/>
      <c r="U33" s="379" t="s">
        <v>140</v>
      </c>
      <c r="V33" s="92" t="s">
        <v>141</v>
      </c>
      <c r="W33" s="93">
        <f>(AA6-W6)*1440</f>
        <v>0</v>
      </c>
      <c r="X33" s="56" t="s">
        <v>142</v>
      </c>
      <c r="Y33" s="57"/>
      <c r="Z33" s="61"/>
      <c r="AA33" s="93">
        <f>(AI6-AE6)*1440</f>
        <v>0</v>
      </c>
      <c r="AB33" s="56" t="s">
        <v>143</v>
      </c>
      <c r="AC33" s="56"/>
      <c r="AD33" s="94"/>
      <c r="AE33" s="95" t="s">
        <v>144</v>
      </c>
      <c r="AF33" s="61"/>
      <c r="AG33" s="61"/>
      <c r="AH33" s="61"/>
      <c r="AI33" s="61"/>
      <c r="AJ33" s="61"/>
      <c r="AK33" s="61"/>
      <c r="AL33" s="61"/>
      <c r="AM33" s="92" t="s">
        <v>141</v>
      </c>
      <c r="AN33" s="61"/>
      <c r="AO33" s="61"/>
      <c r="AP33" s="93">
        <f>(AP6-AL6)*1440</f>
        <v>0</v>
      </c>
      <c r="AQ33" s="56" t="s">
        <v>145</v>
      </c>
      <c r="AR33" s="14"/>
    </row>
    <row r="34" spans="1:122" ht="15.75" customHeight="1" x14ac:dyDescent="0.2">
      <c r="A34" s="25"/>
      <c r="B34" s="616"/>
      <c r="C34" s="617"/>
      <c r="D34" s="617"/>
      <c r="E34" s="617"/>
      <c r="F34" s="617"/>
      <c r="G34" s="617"/>
      <c r="H34" s="617"/>
      <c r="I34" s="617"/>
      <c r="J34" s="617"/>
      <c r="K34" s="617"/>
      <c r="L34" s="617"/>
      <c r="M34" s="617"/>
      <c r="N34" s="617"/>
      <c r="O34" s="617"/>
      <c r="P34" s="617"/>
      <c r="Q34" s="617"/>
      <c r="R34" s="618"/>
      <c r="S34" s="15"/>
      <c r="T34" s="10"/>
      <c r="U34" s="379" t="s">
        <v>146</v>
      </c>
      <c r="V34" s="92" t="s">
        <v>141</v>
      </c>
      <c r="W34" s="327" t="e">
        <f>W33*75/(N20-W8)</f>
        <v>#DIV/0!</v>
      </c>
      <c r="X34" s="56" t="s">
        <v>147</v>
      </c>
      <c r="Y34" s="57"/>
      <c r="Z34" s="61"/>
      <c r="AA34" s="327" t="e">
        <f>AA33*75/(N20-AE8)</f>
        <v>#DIV/0!</v>
      </c>
      <c r="AB34" s="56" t="s">
        <v>148</v>
      </c>
      <c r="AC34" s="56"/>
      <c r="AD34" s="94"/>
      <c r="AE34" s="95" t="s">
        <v>149</v>
      </c>
      <c r="AF34" s="61"/>
      <c r="AG34" s="61"/>
      <c r="AH34" s="61"/>
      <c r="AI34" s="61"/>
      <c r="AJ34" s="61"/>
      <c r="AK34" s="61"/>
      <c r="AL34" s="61"/>
      <c r="AM34" s="92" t="s">
        <v>113</v>
      </c>
      <c r="AN34" s="61"/>
      <c r="AO34" s="61"/>
      <c r="AP34" s="434" t="e">
        <f>(4.186*((AL12-$N15+AP32)/2)*(AP8-AL8)+2260*AP31)/(AP30*$E$20)</f>
        <v>#DIV/0!</v>
      </c>
      <c r="AQ34" s="56" t="s">
        <v>150</v>
      </c>
      <c r="AR34" s="14"/>
    </row>
    <row r="35" spans="1:122" ht="15.75" customHeight="1" x14ac:dyDescent="0.2">
      <c r="A35" s="25"/>
      <c r="B35" s="613"/>
      <c r="C35" s="614"/>
      <c r="D35" s="614"/>
      <c r="E35" s="614"/>
      <c r="F35" s="614"/>
      <c r="G35" s="614"/>
      <c r="H35" s="614"/>
      <c r="I35" s="614"/>
      <c r="J35" s="614"/>
      <c r="K35" s="614"/>
      <c r="L35" s="614"/>
      <c r="M35" s="614"/>
      <c r="N35" s="614"/>
      <c r="O35" s="614"/>
      <c r="P35" s="614"/>
      <c r="Q35" s="614"/>
      <c r="R35" s="615"/>
      <c r="S35" s="15"/>
      <c r="T35" s="10"/>
      <c r="U35" s="379" t="s">
        <v>149</v>
      </c>
      <c r="V35" s="92" t="s">
        <v>113</v>
      </c>
      <c r="W35" s="434" t="e">
        <f>(4.186*SUM((W12-$N15)*(AA8-W8),(W13-$N16)*(AA9-W9),(W14-$N17)*(AA10-W10),(W15-$N18)*(AA11-W11))+2260*W31)/(W30*$E20)</f>
        <v>#DIV/0!</v>
      </c>
      <c r="X35" s="56" t="s">
        <v>151</v>
      </c>
      <c r="Y35" s="57"/>
      <c r="Z35" s="61"/>
      <c r="AA35" s="434" t="e">
        <f>(4.186*SUM((AE12-$N15)*(AI8-AE8),(AE13-$N16)*(AI9-AE9),(AE14-$N17)*(AI10-AE10),(AE15-$N18)*(AI11-AE11))+2260*AA31)/(AA30*$E20)</f>
        <v>#DIV/0!</v>
      </c>
      <c r="AB35" s="56" t="s">
        <v>152</v>
      </c>
      <c r="AC35" s="56"/>
      <c r="AD35" s="94"/>
      <c r="AE35" s="95" t="s">
        <v>153</v>
      </c>
      <c r="AF35" s="61"/>
      <c r="AG35" s="61"/>
      <c r="AH35" s="61"/>
      <c r="AI35" s="61"/>
      <c r="AJ35" s="61"/>
      <c r="AK35" s="61"/>
      <c r="AL35" s="61"/>
      <c r="AM35" s="92" t="s">
        <v>154</v>
      </c>
      <c r="AN35" s="61"/>
      <c r="AO35" s="61"/>
      <c r="AP35" s="421" t="e">
        <f>AP30/AP33</f>
        <v>#DIV/0!</v>
      </c>
      <c r="AQ35" s="56" t="s">
        <v>155</v>
      </c>
      <c r="AR35" s="14"/>
    </row>
    <row r="36" spans="1:122" ht="15.75" customHeight="1" thickBot="1" x14ac:dyDescent="0.25">
      <c r="A36" s="25"/>
      <c r="B36" s="110" t="s">
        <v>184</v>
      </c>
      <c r="C36" s="110"/>
      <c r="D36" s="110"/>
      <c r="E36" s="110"/>
      <c r="F36" s="110"/>
      <c r="G36" s="110"/>
      <c r="H36" s="110"/>
      <c r="I36" s="110"/>
      <c r="J36" s="110"/>
      <c r="K36" s="110"/>
      <c r="L36" s="110"/>
      <c r="M36" s="110"/>
      <c r="N36" s="110"/>
      <c r="O36" s="111"/>
      <c r="P36" s="111"/>
      <c r="Q36" s="111"/>
      <c r="R36" s="111"/>
      <c r="S36" s="15"/>
      <c r="T36" s="10"/>
      <c r="U36" s="379" t="s">
        <v>153</v>
      </c>
      <c r="V36" s="92" t="s">
        <v>154</v>
      </c>
      <c r="W36" s="421" t="e">
        <f>W30/W33</f>
        <v>#DIV/0!</v>
      </c>
      <c r="X36" s="92" t="s">
        <v>156</v>
      </c>
      <c r="Y36" s="57"/>
      <c r="Z36" s="61"/>
      <c r="AA36" s="421" t="e">
        <f>AA30/AA33</f>
        <v>#DIV/0!</v>
      </c>
      <c r="AB36" s="56" t="s">
        <v>157</v>
      </c>
      <c r="AC36" s="56"/>
      <c r="AD36" s="94"/>
      <c r="AE36" s="95" t="s">
        <v>158</v>
      </c>
      <c r="AF36" s="61"/>
      <c r="AG36" s="61"/>
      <c r="AH36" s="61"/>
      <c r="AI36" s="61"/>
      <c r="AJ36" s="61"/>
      <c r="AK36" s="61"/>
      <c r="AL36" s="61"/>
      <c r="AM36" s="92" t="s">
        <v>844</v>
      </c>
      <c r="AN36" s="61"/>
      <c r="AO36" s="61"/>
      <c r="AP36" s="421" t="e">
        <f>AP30/AP32*1000</f>
        <v>#DIV/0!</v>
      </c>
      <c r="AQ36" s="56" t="s">
        <v>160</v>
      </c>
      <c r="AR36" s="14"/>
    </row>
    <row r="37" spans="1:122" ht="13.5" customHeight="1" thickTop="1" thickBot="1" x14ac:dyDescent="0.25">
      <c r="A37" s="109"/>
      <c r="B37" s="249"/>
      <c r="C37" s="249"/>
      <c r="D37" s="249"/>
      <c r="E37" s="249"/>
      <c r="F37" s="249"/>
      <c r="G37" s="249"/>
      <c r="H37" s="249"/>
      <c r="I37" s="249"/>
      <c r="J37" s="249"/>
      <c r="K37" s="249"/>
      <c r="L37" s="249"/>
      <c r="M37" s="249"/>
      <c r="N37" s="249"/>
      <c r="O37" s="249"/>
      <c r="P37" s="249"/>
      <c r="Q37" s="249"/>
      <c r="R37" s="249"/>
      <c r="S37" s="112"/>
      <c r="T37" s="10"/>
      <c r="U37" s="379" t="s">
        <v>158</v>
      </c>
      <c r="V37" s="92" t="s">
        <v>845</v>
      </c>
      <c r="W37" s="435" t="e">
        <f>1000*W30/W32</f>
        <v>#DIV/0!</v>
      </c>
      <c r="X37" s="56" t="s">
        <v>161</v>
      </c>
      <c r="Y37" s="57"/>
      <c r="Z37" s="61"/>
      <c r="AA37" s="435" t="e">
        <f>1000*AA30/AA32</f>
        <v>#DIV/0!</v>
      </c>
      <c r="AB37" s="56" t="s">
        <v>162</v>
      </c>
      <c r="AC37" s="56"/>
      <c r="AD37" s="94"/>
      <c r="AE37" s="95" t="s">
        <v>163</v>
      </c>
      <c r="AF37" s="61"/>
      <c r="AG37" s="61"/>
      <c r="AH37" s="61"/>
      <c r="AI37" s="61"/>
      <c r="AJ37" s="61"/>
      <c r="AK37" s="61"/>
      <c r="AL37" s="61"/>
      <c r="AM37" s="92" t="s">
        <v>164</v>
      </c>
      <c r="AN37" s="61"/>
      <c r="AO37" s="61"/>
      <c r="AP37" s="327" t="e">
        <f>AP30*$E$20/(AP33*60)</f>
        <v>#DIV/0!</v>
      </c>
      <c r="AQ37" s="56" t="s">
        <v>165</v>
      </c>
      <c r="AR37" s="14"/>
    </row>
    <row r="38" spans="1:122" ht="15.6" customHeight="1" thickTop="1" x14ac:dyDescent="0.2">
      <c r="B38" s="118" t="str">
        <f>"TEST #6 "&amp;D7</f>
        <v xml:space="preserve">TEST #6 </v>
      </c>
      <c r="S38" s="2"/>
      <c r="T38" s="21"/>
      <c r="U38" s="379" t="s">
        <v>166</v>
      </c>
      <c r="V38" s="92" t="s">
        <v>159</v>
      </c>
      <c r="W38" s="435" t="e">
        <f>W37*75/($N$20-W8)</f>
        <v>#DIV/0!</v>
      </c>
      <c r="X38" s="56" t="s">
        <v>167</v>
      </c>
      <c r="Y38" s="57"/>
      <c r="Z38" s="61"/>
      <c r="AA38" s="435" t="e">
        <f>AA37*75/($N$20-AE8)</f>
        <v>#DIV/0!</v>
      </c>
      <c r="AB38" s="56" t="s">
        <v>168</v>
      </c>
      <c r="AC38" s="56"/>
      <c r="AD38" s="94"/>
      <c r="AE38" s="95" t="s">
        <v>169</v>
      </c>
      <c r="AF38" s="61"/>
      <c r="AG38" s="61"/>
      <c r="AH38" s="61"/>
      <c r="AI38" s="61"/>
      <c r="AJ38" s="61"/>
      <c r="AK38" s="61"/>
      <c r="AL38" s="61"/>
      <c r="AM38" s="92" t="s">
        <v>92</v>
      </c>
      <c r="AN38" s="61"/>
      <c r="AO38" s="61"/>
      <c r="AP38" s="417" t="e">
        <f>W40/AP37</f>
        <v>#DIV/0!</v>
      </c>
      <c r="AQ38" s="92" t="s">
        <v>170</v>
      </c>
      <c r="AR38" s="14"/>
    </row>
    <row r="39" spans="1:122" ht="15.6" customHeight="1" thickBot="1" x14ac:dyDescent="0.25">
      <c r="B39" s="619" t="s">
        <v>747</v>
      </c>
      <c r="C39" s="620"/>
      <c r="D39" s="620"/>
      <c r="E39" s="620"/>
      <c r="F39" s="620"/>
      <c r="G39" s="620"/>
      <c r="H39" s="620"/>
      <c r="I39" s="620"/>
      <c r="J39" s="620"/>
      <c r="K39" s="620"/>
      <c r="L39" s="620"/>
      <c r="M39" s="620"/>
      <c r="N39" s="620"/>
      <c r="O39" s="620"/>
      <c r="P39" s="620"/>
      <c r="Q39" s="620"/>
      <c r="R39" s="621"/>
      <c r="T39" s="21"/>
      <c r="U39" s="379" t="s">
        <v>171</v>
      </c>
      <c r="V39" s="92" t="s">
        <v>172</v>
      </c>
      <c r="W39" s="93" t="e">
        <f>(W38/1000)*E20</f>
        <v>#DIV/0!</v>
      </c>
      <c r="X39" s="56" t="s">
        <v>173</v>
      </c>
      <c r="Y39" s="57"/>
      <c r="Z39" s="61"/>
      <c r="AA39" s="93" t="e">
        <f>(AA38/1000)*E20</f>
        <v>#DIV/0!</v>
      </c>
      <c r="AB39" s="56" t="s">
        <v>174</v>
      </c>
      <c r="AC39" s="56"/>
      <c r="AD39" s="94"/>
      <c r="AE39" s="102" t="s">
        <v>175</v>
      </c>
      <c r="AF39" s="103"/>
      <c r="AG39" s="103"/>
      <c r="AH39" s="103"/>
      <c r="AI39" s="103"/>
      <c r="AJ39" s="103"/>
      <c r="AK39" s="103"/>
      <c r="AL39" s="103"/>
      <c r="AM39" s="104" t="s">
        <v>172</v>
      </c>
      <c r="AN39" s="103"/>
      <c r="AO39" s="103"/>
      <c r="AP39" s="105" t="e">
        <f>(AP36/1000)*E20</f>
        <v>#DIV/0!</v>
      </c>
      <c r="AQ39" s="106" t="s">
        <v>176</v>
      </c>
      <c r="AR39" s="107"/>
    </row>
    <row r="40" spans="1:122" ht="14.25" thickBot="1" x14ac:dyDescent="0.25">
      <c r="B40" s="616"/>
      <c r="C40" s="617"/>
      <c r="D40" s="617"/>
      <c r="E40" s="617"/>
      <c r="F40" s="617"/>
      <c r="G40" s="617"/>
      <c r="H40" s="617"/>
      <c r="I40" s="617"/>
      <c r="J40" s="617"/>
      <c r="K40" s="617"/>
      <c r="L40" s="617"/>
      <c r="M40" s="617"/>
      <c r="N40" s="617"/>
      <c r="O40" s="617"/>
      <c r="P40" s="617"/>
      <c r="Q40" s="617"/>
      <c r="R40" s="618"/>
      <c r="T40" s="21"/>
      <c r="U40" s="380" t="s">
        <v>163</v>
      </c>
      <c r="V40" s="115" t="s">
        <v>164</v>
      </c>
      <c r="W40" s="422" t="e">
        <f>W30*$E$20/(W33*60)</f>
        <v>#DIV/0!</v>
      </c>
      <c r="X40" s="376" t="s">
        <v>177</v>
      </c>
      <c r="Y40" s="252"/>
      <c r="Z40" s="114"/>
      <c r="AA40" s="422" t="e">
        <f>AA30*$E$20/(AA33*60)</f>
        <v>#DIV/0!</v>
      </c>
      <c r="AB40" s="376" t="s">
        <v>178</v>
      </c>
      <c r="AC40" s="376"/>
      <c r="AD40" s="253"/>
      <c r="AE40" s="3" t="s">
        <v>179</v>
      </c>
      <c r="AM40" s="3" t="s">
        <v>20</v>
      </c>
      <c r="AP40" s="388" t="e">
        <f>IF(ISERROR(AA38),5*(W38+AP36),5*(AVERAGE(W38,AA38)+AP36))</f>
        <v>#DIV/0!</v>
      </c>
      <c r="AQ40" s="108" t="s">
        <v>180</v>
      </c>
      <c r="AR40" s="14"/>
      <c r="DG40" s="1"/>
      <c r="DH40" s="1"/>
      <c r="DI40" s="1"/>
      <c r="DJ40" s="1"/>
      <c r="DK40" s="1"/>
      <c r="DL40" s="1"/>
      <c r="DM40" s="1"/>
      <c r="DN40" s="1"/>
      <c r="DO40" s="1"/>
      <c r="DP40" s="1"/>
      <c r="DQ40" s="1"/>
      <c r="DR40" s="1"/>
    </row>
    <row r="41" spans="1:122" ht="15.6" customHeight="1" thickTop="1" thickBot="1" x14ac:dyDescent="0.2">
      <c r="B41" s="616"/>
      <c r="C41" s="617"/>
      <c r="D41" s="617"/>
      <c r="E41" s="617"/>
      <c r="F41" s="617"/>
      <c r="G41" s="617"/>
      <c r="H41" s="617"/>
      <c r="I41" s="617"/>
      <c r="J41" s="617"/>
      <c r="K41" s="617"/>
      <c r="L41" s="617"/>
      <c r="M41" s="617"/>
      <c r="N41" s="617"/>
      <c r="O41" s="617"/>
      <c r="P41" s="617"/>
      <c r="Q41" s="617"/>
      <c r="R41" s="618"/>
      <c r="T41" s="13"/>
      <c r="U41" s="13"/>
      <c r="V41" s="13"/>
      <c r="W41" s="13"/>
      <c r="X41" s="13"/>
      <c r="Y41" s="8"/>
      <c r="Z41" s="8"/>
      <c r="AA41" s="8"/>
      <c r="AB41" s="13"/>
      <c r="AC41" s="8"/>
      <c r="AD41" s="384"/>
      <c r="AE41" s="114" t="s">
        <v>181</v>
      </c>
      <c r="AF41" s="114"/>
      <c r="AG41" s="114"/>
      <c r="AH41" s="114"/>
      <c r="AI41" s="114"/>
      <c r="AJ41" s="114"/>
      <c r="AK41" s="114"/>
      <c r="AL41" s="114"/>
      <c r="AM41" s="114" t="s">
        <v>182</v>
      </c>
      <c r="AN41" s="114"/>
      <c r="AO41" s="114"/>
      <c r="AP41" s="254" t="e">
        <f>(AP40/1000)*E20</f>
        <v>#DIV/0!</v>
      </c>
      <c r="AQ41" s="115" t="s">
        <v>183</v>
      </c>
      <c r="AR41" s="116"/>
      <c r="DG41" s="1"/>
      <c r="DH41" s="1"/>
      <c r="DI41" s="1"/>
      <c r="DJ41" s="1"/>
      <c r="DK41" s="1"/>
      <c r="DL41" s="1"/>
      <c r="DM41" s="1"/>
      <c r="DN41" s="1"/>
      <c r="DO41" s="1"/>
      <c r="DP41" s="1"/>
      <c r="DQ41" s="1"/>
      <c r="DR41" s="1"/>
    </row>
    <row r="42" spans="1:122" ht="15.6" customHeight="1" thickTop="1" thickBot="1" x14ac:dyDescent="0.2">
      <c r="B42" s="616"/>
      <c r="C42" s="617"/>
      <c r="D42" s="617"/>
      <c r="E42" s="617"/>
      <c r="F42" s="617"/>
      <c r="G42" s="617"/>
      <c r="H42" s="617"/>
      <c r="I42" s="617"/>
      <c r="J42" s="617"/>
      <c r="K42" s="617"/>
      <c r="L42" s="617"/>
      <c r="M42" s="617"/>
      <c r="N42" s="617"/>
      <c r="O42" s="617"/>
      <c r="P42" s="617"/>
      <c r="Q42" s="617"/>
      <c r="R42" s="618"/>
      <c r="U42" s="387" t="s">
        <v>966</v>
      </c>
      <c r="W42" s="108">
        <v>1</v>
      </c>
      <c r="DG42" s="1"/>
      <c r="DH42" s="1"/>
      <c r="DI42" s="1"/>
      <c r="DJ42" s="1"/>
      <c r="DK42" s="1"/>
      <c r="DL42" s="1"/>
      <c r="DM42" s="1"/>
      <c r="DN42" s="1"/>
      <c r="DO42" s="1"/>
      <c r="DP42" s="1"/>
      <c r="DQ42" s="1"/>
      <c r="DR42" s="1"/>
    </row>
    <row r="43" spans="1:122" ht="15.6" customHeight="1" thickTop="1" x14ac:dyDescent="0.15">
      <c r="B43" s="616"/>
      <c r="C43" s="617"/>
      <c r="D43" s="617"/>
      <c r="E43" s="617"/>
      <c r="F43" s="617"/>
      <c r="G43" s="617"/>
      <c r="H43" s="617"/>
      <c r="I43" s="617"/>
      <c r="J43" s="617"/>
      <c r="K43" s="617"/>
      <c r="L43" s="617"/>
      <c r="M43" s="617"/>
      <c r="N43" s="617"/>
      <c r="O43" s="617"/>
      <c r="P43" s="617"/>
      <c r="Q43" s="617"/>
      <c r="R43" s="618"/>
      <c r="U43" s="283" t="s">
        <v>952</v>
      </c>
      <c r="V43" s="284"/>
      <c r="W43" s="285"/>
      <c r="X43" s="410"/>
      <c r="Y43" s="287"/>
      <c r="Z43" s="287"/>
      <c r="AA43" s="287"/>
      <c r="AB43" s="287"/>
      <c r="AC43" s="287"/>
      <c r="AD43" s="287"/>
      <c r="AE43" s="285" t="s">
        <v>88</v>
      </c>
      <c r="AF43" s="288" t="s">
        <v>866</v>
      </c>
      <c r="DG43" s="1"/>
      <c r="DH43" s="1"/>
      <c r="DI43" s="1"/>
      <c r="DJ43" s="1"/>
      <c r="DK43" s="1"/>
      <c r="DL43" s="1"/>
      <c r="DM43" s="1"/>
      <c r="DN43" s="1"/>
      <c r="DO43" s="1"/>
      <c r="DP43" s="1"/>
      <c r="DQ43" s="1"/>
      <c r="DR43" s="1"/>
    </row>
    <row r="44" spans="1:122" ht="15.6" customHeight="1" x14ac:dyDescent="0.15">
      <c r="B44" s="616"/>
      <c r="C44" s="617"/>
      <c r="D44" s="617"/>
      <c r="E44" s="617"/>
      <c r="F44" s="617"/>
      <c r="G44" s="617"/>
      <c r="H44" s="617"/>
      <c r="I44" s="617"/>
      <c r="J44" s="617"/>
      <c r="K44" s="617"/>
      <c r="L44" s="617"/>
      <c r="M44" s="617"/>
      <c r="N44" s="617"/>
      <c r="O44" s="617"/>
      <c r="P44" s="617"/>
      <c r="Q44" s="617"/>
      <c r="R44" s="618"/>
      <c r="U44" s="289" t="s">
        <v>851</v>
      </c>
      <c r="V44" s="290"/>
      <c r="AB44" s="22" t="s">
        <v>113</v>
      </c>
      <c r="AE44" s="396" t="e">
        <f>IF(AA33=0,W35,(W35+AA35)/2)</f>
        <v>#DIV/0!</v>
      </c>
      <c r="AF44" s="423" t="e">
        <f>IF(AE44=0,"-",IF(AE44&lt;Lists!E15,"0",IF(AE44&lt;Lists!I15,1,IF(AE44&lt;Lists!K15,2,IF(AE44&lt;Lists!M15,3,4)))))</f>
        <v>#DIV/0!</v>
      </c>
      <c r="DG44" s="1"/>
      <c r="DH44" s="1"/>
      <c r="DI44" s="1"/>
      <c r="DJ44" s="1"/>
      <c r="DK44" s="1"/>
      <c r="DL44" s="1"/>
      <c r="DM44" s="1"/>
      <c r="DN44" s="1"/>
      <c r="DO44" s="1"/>
      <c r="DP44" s="1"/>
      <c r="DQ44" s="1"/>
      <c r="DR44" s="1"/>
    </row>
    <row r="45" spans="1:122" ht="15.6" customHeight="1" x14ac:dyDescent="0.15">
      <c r="B45" s="616"/>
      <c r="C45" s="617"/>
      <c r="D45" s="617"/>
      <c r="E45" s="617"/>
      <c r="F45" s="617"/>
      <c r="G45" s="617"/>
      <c r="H45" s="617"/>
      <c r="I45" s="617"/>
      <c r="J45" s="617"/>
      <c r="K45" s="617"/>
      <c r="L45" s="617"/>
      <c r="M45" s="617"/>
      <c r="N45" s="617"/>
      <c r="O45" s="617"/>
      <c r="P45" s="617"/>
      <c r="Q45" s="617"/>
      <c r="R45" s="618"/>
      <c r="U45" s="289" t="s">
        <v>958</v>
      </c>
      <c r="V45" s="290"/>
      <c r="AB45" s="22" t="s">
        <v>959</v>
      </c>
      <c r="AE45" s="403" t="e">
        <f>AP30*'General Information'!L22/(AP32*AP33*1000)</f>
        <v>#DIV/0!</v>
      </c>
      <c r="AF45" s="424" t="e">
        <f>IF(AE45&gt;Lists!E16,"0",IF(AE45&gt;Lists!I16,1,IF(AE45&gt;Lists!K16,2,IF(AE45&gt;Lists!M16,3,4))))</f>
        <v>#DIV/0!</v>
      </c>
    </row>
    <row r="46" spans="1:122" ht="15.6" customHeight="1" x14ac:dyDescent="0.15">
      <c r="B46" s="616"/>
      <c r="C46" s="617"/>
      <c r="D46" s="617"/>
      <c r="E46" s="617"/>
      <c r="F46" s="617"/>
      <c r="G46" s="617"/>
      <c r="H46" s="617"/>
      <c r="I46" s="617"/>
      <c r="J46" s="617"/>
      <c r="K46" s="617"/>
      <c r="L46" s="617"/>
      <c r="M46" s="617"/>
      <c r="N46" s="617"/>
      <c r="O46" s="617"/>
      <c r="P46" s="617"/>
      <c r="Q46" s="617"/>
      <c r="R46" s="618"/>
      <c r="U46" s="289" t="s">
        <v>854</v>
      </c>
      <c r="V46" s="290"/>
      <c r="AB46" s="22" t="s">
        <v>960</v>
      </c>
      <c r="AE46" s="402" t="e">
        <f>IF(W42=3,IF(AA33=0,1000000/'General Information'!L22*AA23/(W35*W30),1000000/'General Information'!L22*(AA23/(W35*W30)+AI23/(AA35*AA30))/2),IF(W42=1,IF(AA33=0,1000000/'General Information'!L22*W70/(W35*W30),1000000/'General Information'!L22*(W70/(W35*W30)+AA70/(AA35*AA30))/2),IF(AA33=0,1000000/'General Information'!L22*W74/(W35*W30),1000000/'General Information'!L22*(W74/(W35*W30)+AA74/(AA35*AA30))/2)))</f>
        <v>#DIV/0!</v>
      </c>
      <c r="AF46" s="424" t="e">
        <f xml:space="preserve"> IF(AE46&gt;Lists!E17,"0",IF(AE46&gt;Lists!I17,1,IF(AE46&gt;Lists!K17,2,IF(AE46&gt;Lists!M17,3,4))))</f>
        <v>#DIV/0!</v>
      </c>
    </row>
    <row r="47" spans="1:122" ht="15.6" customHeight="1" x14ac:dyDescent="0.15">
      <c r="B47" s="616"/>
      <c r="C47" s="617"/>
      <c r="D47" s="617"/>
      <c r="E47" s="617"/>
      <c r="F47" s="617"/>
      <c r="G47" s="617"/>
      <c r="H47" s="617"/>
      <c r="I47" s="617"/>
      <c r="J47" s="617"/>
      <c r="K47" s="617"/>
      <c r="L47" s="617"/>
      <c r="M47" s="617"/>
      <c r="N47" s="617"/>
      <c r="O47" s="617"/>
      <c r="P47" s="617"/>
      <c r="Q47" s="617"/>
      <c r="R47" s="618"/>
      <c r="U47" s="289" t="s">
        <v>856</v>
      </c>
      <c r="V47" s="290"/>
      <c r="AB47" s="22" t="s">
        <v>961</v>
      </c>
      <c r="AE47" s="403" t="e">
        <f>IF(W42=3,AP23/(AP33*AP32)*1000,IF(W42=1,AE70/(AP33*AP32)*1000,AE74/(AP33*AP32)*1000))</f>
        <v>#DIV/0!</v>
      </c>
      <c r="AF47" s="424" t="e">
        <f>IF(AE47&gt;Lists!E18,"0",IF(AE47&gt;Lists!I18,1,IF(AE47&gt;Lists!K18,2,IF(AE47&gt;Lists!M18,3,4))))</f>
        <v>#DIV/0!</v>
      </c>
    </row>
    <row r="48" spans="1:122" ht="15.6" customHeight="1" x14ac:dyDescent="0.15">
      <c r="B48" s="613"/>
      <c r="C48" s="614"/>
      <c r="D48" s="614"/>
      <c r="E48" s="614"/>
      <c r="F48" s="614"/>
      <c r="G48" s="614"/>
      <c r="H48" s="614"/>
      <c r="I48" s="614"/>
      <c r="J48" s="614"/>
      <c r="K48" s="614"/>
      <c r="L48" s="614"/>
      <c r="M48" s="614"/>
      <c r="N48" s="614"/>
      <c r="O48" s="614"/>
      <c r="P48" s="614"/>
      <c r="Q48" s="614"/>
      <c r="R48" s="615"/>
      <c r="U48" s="289" t="s">
        <v>858</v>
      </c>
      <c r="V48" s="290"/>
      <c r="AB48" s="22" t="s">
        <v>962</v>
      </c>
      <c r="AE48" s="404" t="e">
        <f>IF(W42=3,IF(AA33=0,10^9/'General Information'!L22*AA24/(W35*W30),10^9/'General Information'!L22*(AA24/(W35*W30)+AI24/(AA35*AA30))/2),IF(W42=1,IF(AA33=0,10^9/'General Information'!L22*W71/(W35*W30),10^9/'General Information'!L22*(W71/(W35*W30)+AA71/(AA35*AA30))/2),IF(AA33=0,10^9/'General Information'!L22*W75/(W35*W30),10^9/'General Information'!L22*(W75/(W35*W30)+AA75/(AA35*AA30))/2)))</f>
        <v>#DIV/0!</v>
      </c>
      <c r="AF48" s="424" t="e">
        <f>IF(AE48&gt;Lists!E19,"0",IF(AE48&gt;Lists!I19,1,IF(AE48&gt;Lists!K19,2,IF(AE48&gt;Lists!M19,3,4))))</f>
        <v>#DIV/0!</v>
      </c>
    </row>
    <row r="49" spans="2:35" ht="15.6" customHeight="1" x14ac:dyDescent="0.15">
      <c r="C49" s="1"/>
      <c r="H49" s="1"/>
      <c r="I49" s="1"/>
      <c r="J49" s="1"/>
      <c r="K49" s="1"/>
      <c r="L49" s="1"/>
      <c r="M49" s="1"/>
      <c r="N49" s="1"/>
      <c r="O49" s="1"/>
      <c r="P49" s="1"/>
      <c r="Q49" s="1"/>
      <c r="R49" s="1"/>
      <c r="U49" s="289" t="s">
        <v>860</v>
      </c>
      <c r="V49" s="290"/>
      <c r="AB49" s="22" t="s">
        <v>963</v>
      </c>
      <c r="AE49" s="397" t="e">
        <f>IF(W42=3,AP24/(AP33*AP32)*1000000,IF(W42=1,AE71/(AP33*AP32)*1000000,AE75/(AP33*AP32)*1000000))</f>
        <v>#DIV/0!</v>
      </c>
      <c r="AF49" s="424" t="e">
        <f>IF(AE49&gt;Lists!E20,"0",IF(AE49&gt;Lists!I20,1,IF(AE49&gt;Lists!K20,2,IF(AE49&gt;Lists!M20,3,4))))</f>
        <v>#DIV/0!</v>
      </c>
    </row>
    <row r="50" spans="2:35" ht="15.6" customHeight="1" x14ac:dyDescent="0.15">
      <c r="B50" s="619" t="s">
        <v>802</v>
      </c>
      <c r="C50" s="620"/>
      <c r="D50" s="620"/>
      <c r="E50" s="620"/>
      <c r="F50" s="620"/>
      <c r="G50" s="620"/>
      <c r="H50" s="620"/>
      <c r="I50" s="620"/>
      <c r="J50" s="620"/>
      <c r="K50" s="620"/>
      <c r="L50" s="620"/>
      <c r="M50" s="620"/>
      <c r="N50" s="620"/>
      <c r="O50" s="620"/>
      <c r="P50" s="620"/>
      <c r="Q50" s="620"/>
      <c r="R50" s="621"/>
      <c r="U50" s="289" t="s">
        <v>879</v>
      </c>
      <c r="V50" s="290"/>
      <c r="AB50" s="22" t="s">
        <v>154</v>
      </c>
      <c r="AE50" s="397" t="e">
        <f>IF(W42=3,IF(IF(AA33=0,AA23/W33,(AA23/W33+AI23/AA33)/2)&lt;(AP23/AP33),AP23/AP33,IF(AA33=0,AA23/W33,(AA23/W33+AI23/AA33)/2)),IF(W42=1,IF(IF(AA33=0,W70/W33,(W70/W33+AA70/AA33)/2)&lt;(AE70/AP33),AE70/AP33,IF(AA33=0,W70/W33,(W70/W33+AA70/AA33)/2)),IF(IF(AA33=0,W74/W33,(W74/W33+AA74/AA33)/2)&lt;(AE74/AP33),AE74/AP33,IF(AA33=0,W74/W33,(W74/W33+AA74/AA33)/2))))</f>
        <v>#DIV/0!</v>
      </c>
      <c r="AF50" s="424" t="e">
        <f>IF(AE50&gt;Lists!E21,"0",IF(AE50&gt;Lists!I21,1,IF(AE50&gt;Lists!K21,2,IF(AE50&gt;Lists!M21,3,4))))</f>
        <v>#DIV/0!</v>
      </c>
    </row>
    <row r="51" spans="2:35" ht="15.6" customHeight="1" thickBot="1" x14ac:dyDescent="0.2">
      <c r="B51" s="616"/>
      <c r="C51" s="617"/>
      <c r="D51" s="617"/>
      <c r="E51" s="617"/>
      <c r="F51" s="617"/>
      <c r="G51" s="617"/>
      <c r="H51" s="617"/>
      <c r="I51" s="617"/>
      <c r="J51" s="617"/>
      <c r="K51" s="617"/>
      <c r="L51" s="617"/>
      <c r="M51" s="617"/>
      <c r="N51" s="617"/>
      <c r="O51" s="617"/>
      <c r="P51" s="617"/>
      <c r="Q51" s="617"/>
      <c r="R51" s="618"/>
      <c r="U51" s="291" t="s">
        <v>878</v>
      </c>
      <c r="V51" s="292"/>
      <c r="W51" s="269"/>
      <c r="X51" s="269"/>
      <c r="Y51" s="269"/>
      <c r="Z51" s="269"/>
      <c r="AA51" s="269"/>
      <c r="AB51" s="270" t="s">
        <v>864</v>
      </c>
      <c r="AC51" s="269"/>
      <c r="AD51" s="269"/>
      <c r="AE51" s="405" t="e">
        <f>IF(W42=3,IF(IF(AA33=0,AA24/W33,(AA24/W33+AI24/AA33)/2)&lt;(AP24/AP33),AP24/AP33*1000,IF(AA33=0,AA24/W33,(AA24/W33+AI24/AA33)/2)*1000),IF(W42=1,IF(IF(AA33=0,W71/W33,(W71/W33+AA71/AA33)/2)&lt;(AE71/AP33),AE71/AP33*1000,IF(AA33=0,W71/W33,(W71/W33+AA71/AA33)/2)*1000),IF(IF(AA33=0,W75/W33,(W75/W33+AA75/AA33)/2)&lt;(AE75/AP33),AE75/AP33*1000,IF(AA33=0,W75/W33,(W75/W33+AA75/AA33)/2)*1000)))</f>
        <v>#DIV/0!</v>
      </c>
      <c r="AF51" s="425" t="e">
        <f>IF(AE51&gt;Lists!E22,"0",IF(AE51&gt;Lists!I22,1,IF(AE51&gt;Lists!K22,2,IF(AE51&gt;Lists!M22,3,4))))</f>
        <v>#DIV/0!</v>
      </c>
      <c r="AI51" s="13"/>
    </row>
    <row r="52" spans="2:35" ht="15.6" customHeight="1" thickTop="1" thickBot="1" x14ac:dyDescent="0.2">
      <c r="B52" s="616"/>
      <c r="C52" s="617"/>
      <c r="D52" s="617"/>
      <c r="E52" s="617"/>
      <c r="F52" s="617"/>
      <c r="G52" s="617"/>
      <c r="H52" s="617"/>
      <c r="I52" s="617"/>
      <c r="J52" s="617"/>
      <c r="K52" s="617"/>
      <c r="L52" s="617"/>
      <c r="M52" s="617"/>
      <c r="N52" s="617"/>
      <c r="O52" s="617"/>
      <c r="P52" s="617"/>
      <c r="Q52" s="617"/>
      <c r="R52" s="618"/>
      <c r="U52" s="118" t="str">
        <f>"TEST #6 "&amp;D7</f>
        <v xml:space="preserve">TEST #6 </v>
      </c>
      <c r="V52" s="86" t="s">
        <v>804</v>
      </c>
      <c r="AI52" s="13"/>
    </row>
    <row r="53" spans="2:35" ht="15.6" customHeight="1" thickTop="1" x14ac:dyDescent="0.15">
      <c r="B53" s="616"/>
      <c r="C53" s="617"/>
      <c r="D53" s="617"/>
      <c r="E53" s="617"/>
      <c r="F53" s="617"/>
      <c r="G53" s="617"/>
      <c r="H53" s="617"/>
      <c r="I53" s="617"/>
      <c r="J53" s="617"/>
      <c r="K53" s="617"/>
      <c r="L53" s="617"/>
      <c r="M53" s="617"/>
      <c r="N53" s="617"/>
      <c r="O53" s="617"/>
      <c r="P53" s="617"/>
      <c r="Q53" s="617"/>
      <c r="R53" s="618"/>
      <c r="T53" s="7"/>
      <c r="U53" s="8"/>
      <c r="V53" s="8"/>
      <c r="W53" s="260" t="s">
        <v>110</v>
      </c>
      <c r="X53" s="8"/>
      <c r="Y53" s="261"/>
      <c r="Z53" s="8"/>
      <c r="AA53" s="260" t="s">
        <v>111</v>
      </c>
      <c r="AB53" s="8"/>
      <c r="AC53" s="261"/>
      <c r="AD53" s="8"/>
      <c r="AE53" s="260" t="s">
        <v>2</v>
      </c>
      <c r="AF53" s="8"/>
      <c r="AG53" s="146"/>
      <c r="AH53" s="146"/>
      <c r="AI53" s="271"/>
    </row>
    <row r="54" spans="2:35" ht="15.6" customHeight="1" x14ac:dyDescent="0.15">
      <c r="B54" s="616"/>
      <c r="C54" s="617"/>
      <c r="D54" s="617"/>
      <c r="E54" s="617"/>
      <c r="F54" s="617"/>
      <c r="G54" s="617"/>
      <c r="H54" s="617"/>
      <c r="I54" s="617"/>
      <c r="J54" s="617"/>
      <c r="K54" s="617"/>
      <c r="L54" s="617"/>
      <c r="M54" s="617"/>
      <c r="N54" s="617"/>
      <c r="O54" s="617"/>
      <c r="P54" s="617"/>
      <c r="Q54" s="617"/>
      <c r="R54" s="618"/>
      <c r="T54" s="10"/>
      <c r="U54" s="88" t="s">
        <v>116</v>
      </c>
      <c r="V54" s="89" t="s">
        <v>9</v>
      </c>
      <c r="W54" s="89" t="s">
        <v>10</v>
      </c>
      <c r="X54" s="89" t="s">
        <v>11</v>
      </c>
      <c r="Y54" s="46"/>
      <c r="Z54" s="13"/>
      <c r="AA54" s="89" t="s">
        <v>10</v>
      </c>
      <c r="AB54" s="89" t="s">
        <v>11</v>
      </c>
      <c r="AC54" s="46"/>
      <c r="AD54" s="13"/>
      <c r="AE54" s="89" t="s">
        <v>10</v>
      </c>
      <c r="AF54" s="89" t="s">
        <v>11</v>
      </c>
      <c r="AG54" s="71"/>
      <c r="AH54" s="71"/>
      <c r="AI54" s="271"/>
    </row>
    <row r="55" spans="2:35" ht="15.6" customHeight="1" x14ac:dyDescent="0.3">
      <c r="B55" s="616"/>
      <c r="C55" s="617"/>
      <c r="D55" s="617"/>
      <c r="E55" s="617"/>
      <c r="F55" s="617"/>
      <c r="G55" s="617"/>
      <c r="H55" s="617"/>
      <c r="I55" s="617"/>
      <c r="J55" s="617"/>
      <c r="K55" s="617"/>
      <c r="L55" s="617"/>
      <c r="M55" s="617"/>
      <c r="N55" s="617"/>
      <c r="O55" s="617"/>
      <c r="P55" s="617"/>
      <c r="Q55" s="617"/>
      <c r="R55" s="618"/>
      <c r="T55" s="10"/>
      <c r="U55" s="91" t="s">
        <v>805</v>
      </c>
      <c r="V55" s="92" t="s">
        <v>806</v>
      </c>
      <c r="W55" s="427">
        <f>'General Information'!$C$24*W33/60</f>
        <v>0</v>
      </c>
      <c r="X55" s="350" t="s">
        <v>884</v>
      </c>
      <c r="Y55" s="57"/>
      <c r="Z55" s="61"/>
      <c r="AA55" s="426">
        <f>'General Information'!$C$24*AA33/60</f>
        <v>0</v>
      </c>
      <c r="AB55" s="351" t="s">
        <v>885</v>
      </c>
      <c r="AC55" s="46"/>
      <c r="AD55" s="13"/>
      <c r="AE55" s="426">
        <f>'General Information'!$C$24*AP33/60</f>
        <v>0</v>
      </c>
      <c r="AF55" s="351" t="s">
        <v>886</v>
      </c>
      <c r="AG55" s="71"/>
      <c r="AH55" s="71"/>
      <c r="AI55" s="271"/>
    </row>
    <row r="56" spans="2:35" ht="15.6" customHeight="1" x14ac:dyDescent="0.3">
      <c r="B56" s="616"/>
      <c r="C56" s="617"/>
      <c r="D56" s="617"/>
      <c r="E56" s="617"/>
      <c r="F56" s="617"/>
      <c r="G56" s="617"/>
      <c r="H56" s="617"/>
      <c r="I56" s="617"/>
      <c r="J56" s="617"/>
      <c r="K56" s="617"/>
      <c r="L56" s="617"/>
      <c r="M56" s="617"/>
      <c r="N56" s="617"/>
      <c r="O56" s="617"/>
      <c r="P56" s="617"/>
      <c r="Q56" s="617"/>
      <c r="R56" s="618"/>
      <c r="T56" s="10"/>
      <c r="U56" s="91" t="s">
        <v>814</v>
      </c>
      <c r="V56" s="92" t="s">
        <v>781</v>
      </c>
      <c r="W56" s="421" t="e">
        <f>((AA18-$N21)+(AA19-$N22)+(AA20-$N23)/15/('General Information'!$C$22/0.008314/(AA21+273.15)))</f>
        <v>#DIV/0!</v>
      </c>
      <c r="X56" s="350" t="s">
        <v>887</v>
      </c>
      <c r="Y56" s="57"/>
      <c r="Z56" s="61"/>
      <c r="AA56" s="429" t="e">
        <f>((AI18-$N21)+(AI19-$N22)+(AI20-$N23)/15/('General Information'!$C$22/0.008314/(AI21+273.15)))</f>
        <v>#DIV/0!</v>
      </c>
      <c r="AB56" s="351" t="s">
        <v>888</v>
      </c>
      <c r="AC56" s="57"/>
      <c r="AD56" s="13"/>
      <c r="AE56" s="429" t="e">
        <f>((AP18-$N21)+(AP19-$N22)+(AP20-$N23)/15/('General Information'!$C$22/0.008314/(AP21+273.15)))</f>
        <v>#DIV/0!</v>
      </c>
      <c r="AF56" s="351" t="s">
        <v>889</v>
      </c>
      <c r="AG56" s="71"/>
      <c r="AH56" s="71"/>
      <c r="AI56" s="271"/>
    </row>
    <row r="57" spans="2:35" ht="15.6" customHeight="1" x14ac:dyDescent="0.3">
      <c r="B57" s="616"/>
      <c r="C57" s="617"/>
      <c r="D57" s="617"/>
      <c r="E57" s="617"/>
      <c r="F57" s="617"/>
      <c r="G57" s="617"/>
      <c r="H57" s="617"/>
      <c r="I57" s="617"/>
      <c r="J57" s="617"/>
      <c r="K57" s="617"/>
      <c r="L57" s="617"/>
      <c r="M57" s="617"/>
      <c r="N57" s="617"/>
      <c r="O57" s="617"/>
      <c r="P57" s="617"/>
      <c r="Q57" s="617"/>
      <c r="R57" s="618"/>
      <c r="T57" s="10"/>
      <c r="U57" s="91" t="s">
        <v>807</v>
      </c>
      <c r="V57" s="92" t="s">
        <v>808</v>
      </c>
      <c r="W57" s="395" t="e">
        <f>'General Information'!$C$22/0.008314/(AA21+273.15)*W56*0.000001*12</f>
        <v>#DIV/0!</v>
      </c>
      <c r="X57" s="350" t="s">
        <v>890</v>
      </c>
      <c r="Y57" s="57"/>
      <c r="Z57" s="61"/>
      <c r="AA57" s="392" t="e">
        <f>'General Information'!$C$22/0.008314/(AI21+273.15)*AA56*0.000001*12</f>
        <v>#DIV/0!</v>
      </c>
      <c r="AB57" s="351" t="s">
        <v>891</v>
      </c>
      <c r="AC57" s="57"/>
      <c r="AD57" s="13"/>
      <c r="AE57" s="392" t="e">
        <f>'General Information'!$C$22/0.008314/(AP21+273.15)*AE56*0.000001*12</f>
        <v>#DIV/0!</v>
      </c>
      <c r="AF57" s="351" t="s">
        <v>892</v>
      </c>
      <c r="AG57" s="71"/>
      <c r="AH57" s="71"/>
      <c r="AI57" s="271"/>
    </row>
    <row r="58" spans="2:35" ht="15.6" customHeight="1" x14ac:dyDescent="0.15">
      <c r="B58" s="616"/>
      <c r="C58" s="617"/>
      <c r="D58" s="617"/>
      <c r="E58" s="617"/>
      <c r="F58" s="617"/>
      <c r="G58" s="617"/>
      <c r="H58" s="617"/>
      <c r="I58" s="617"/>
      <c r="J58" s="617"/>
      <c r="K58" s="617"/>
      <c r="L58" s="617"/>
      <c r="M58" s="617"/>
      <c r="N58" s="617"/>
      <c r="O58" s="617"/>
      <c r="P58" s="617"/>
      <c r="Q58" s="617"/>
      <c r="R58" s="618"/>
      <c r="T58" s="10"/>
      <c r="U58" s="91" t="s">
        <v>877</v>
      </c>
      <c r="V58" s="92" t="s">
        <v>20</v>
      </c>
      <c r="W58" s="93" t="e">
        <f>W57*W55/fuelFracC</f>
        <v>#DIV/0!</v>
      </c>
      <c r="X58" s="351" t="s">
        <v>893</v>
      </c>
      <c r="Y58" s="57"/>
      <c r="Z58" s="61"/>
      <c r="AA58" s="392" t="e">
        <f>AA57*AA55/fuelFracC</f>
        <v>#DIV/0!</v>
      </c>
      <c r="AB58" s="351" t="s">
        <v>894</v>
      </c>
      <c r="AC58" s="57"/>
      <c r="AD58" s="13"/>
      <c r="AE58" s="392" t="e">
        <f>AE57*AE55/fuelFracC</f>
        <v>#DIV/0!</v>
      </c>
      <c r="AF58" s="351" t="s">
        <v>895</v>
      </c>
      <c r="AG58" s="13"/>
      <c r="AH58" s="13"/>
      <c r="AI58" s="271"/>
    </row>
    <row r="59" spans="2:35" ht="15.6" customHeight="1" x14ac:dyDescent="0.15">
      <c r="B59" s="613"/>
      <c r="C59" s="614"/>
      <c r="D59" s="614"/>
      <c r="E59" s="614"/>
      <c r="F59" s="614"/>
      <c r="G59" s="614"/>
      <c r="H59" s="614"/>
      <c r="I59" s="614"/>
      <c r="J59" s="614"/>
      <c r="K59" s="614"/>
      <c r="L59" s="614"/>
      <c r="M59" s="614"/>
      <c r="N59" s="614"/>
      <c r="O59" s="614"/>
      <c r="P59" s="614"/>
      <c r="Q59" s="614"/>
      <c r="R59" s="615"/>
      <c r="T59" s="10"/>
      <c r="U59" s="13" t="s">
        <v>824</v>
      </c>
      <c r="V59" s="22" t="s">
        <v>113</v>
      </c>
      <c r="W59" s="431" t="e">
        <f>W58/((1-$E$18)*(W28)-W29*charFracC/'General Information'!L23)</f>
        <v>#DIV/0!</v>
      </c>
      <c r="X59" s="351" t="s">
        <v>896</v>
      </c>
      <c r="Y59" s="334"/>
      <c r="Z59" s="335"/>
      <c r="AA59" s="430" t="e">
        <f>AA58/((1-$E$18)*(AA28)-AA29*charFracC/'General Information'!L23)</f>
        <v>#DIV/0!</v>
      </c>
      <c r="AB59" s="351" t="s">
        <v>897</v>
      </c>
      <c r="AC59" s="334"/>
      <c r="AD59" s="336"/>
      <c r="AE59" s="430" t="e">
        <f>AE58/((1-$E$18)*(AP28)-AP29*charFracC/'General Information'!L23)</f>
        <v>#DIV/0!</v>
      </c>
      <c r="AF59" s="351" t="s">
        <v>898</v>
      </c>
      <c r="AG59" s="13"/>
      <c r="AH59" s="13"/>
      <c r="AI59" s="271"/>
    </row>
    <row r="60" spans="2:35" ht="15.6" customHeight="1" x14ac:dyDescent="0.15">
      <c r="T60" s="10"/>
      <c r="U60" s="262" t="s">
        <v>813</v>
      </c>
      <c r="V60" s="13"/>
      <c r="W60" s="312"/>
      <c r="X60" s="56"/>
      <c r="Y60" s="57"/>
      <c r="Z60" s="61"/>
      <c r="AA60" s="2"/>
      <c r="AB60" s="22"/>
      <c r="AC60" s="57"/>
      <c r="AD60" s="13"/>
      <c r="AE60" s="312"/>
      <c r="AF60" s="22"/>
      <c r="AG60" s="22"/>
      <c r="AH60" s="13"/>
      <c r="AI60" s="271"/>
    </row>
    <row r="61" spans="2:35" ht="15.6" customHeight="1" x14ac:dyDescent="0.15">
      <c r="B61" s="619" t="s">
        <v>803</v>
      </c>
      <c r="C61" s="620"/>
      <c r="D61" s="620"/>
      <c r="E61" s="620"/>
      <c r="F61" s="620"/>
      <c r="G61" s="620"/>
      <c r="H61" s="620"/>
      <c r="I61" s="620"/>
      <c r="J61" s="620"/>
      <c r="K61" s="620"/>
      <c r="L61" s="620"/>
      <c r="M61" s="620"/>
      <c r="N61" s="620"/>
      <c r="O61" s="620"/>
      <c r="P61" s="620"/>
      <c r="Q61" s="620"/>
      <c r="R61" s="621"/>
      <c r="T61" s="10"/>
      <c r="U61" s="13" t="s">
        <v>812</v>
      </c>
      <c r="V61" s="22" t="s">
        <v>159</v>
      </c>
      <c r="W61" s="432" t="e">
        <f>IF($W$42=3,AA22/W$32*1000,IF($W$42=1,W69/W$32*1000,W73/W$32*1000))</f>
        <v>#DIV/0!</v>
      </c>
      <c r="X61" s="356" t="s">
        <v>919</v>
      </c>
      <c r="Y61" s="329"/>
      <c r="Z61" s="330"/>
      <c r="AA61" s="432" t="e">
        <f>IF($W$42=3,AI22/AA$32*1000,IF($W$42=1,AA69/AA$32*1000,AA73/AA$32*1000))</f>
        <v>#DIV/0!</v>
      </c>
      <c r="AB61" s="356" t="s">
        <v>920</v>
      </c>
      <c r="AC61" s="329"/>
      <c r="AD61" s="357"/>
      <c r="AE61" s="432" t="e">
        <f>IF($W$42=3,AP22/AP$32*1000,IF($W$42=1,AE69/AP$32*1000,AE73/AP$32*1000))</f>
        <v>#DIV/0!</v>
      </c>
      <c r="AF61" s="351" t="s">
        <v>921</v>
      </c>
      <c r="AG61" s="22"/>
      <c r="AH61" s="13"/>
      <c r="AI61" s="271"/>
    </row>
    <row r="62" spans="2:35" ht="15.6" customHeight="1" x14ac:dyDescent="0.15">
      <c r="B62" s="616"/>
      <c r="C62" s="617"/>
      <c r="D62" s="617"/>
      <c r="E62" s="617"/>
      <c r="F62" s="617"/>
      <c r="G62" s="617"/>
      <c r="H62" s="617"/>
      <c r="I62" s="617"/>
      <c r="J62" s="617"/>
      <c r="K62" s="617"/>
      <c r="L62" s="617"/>
      <c r="M62" s="617"/>
      <c r="N62" s="617"/>
      <c r="O62" s="617"/>
      <c r="P62" s="617"/>
      <c r="Q62" s="617"/>
      <c r="R62" s="618"/>
      <c r="T62" s="10"/>
      <c r="U62" s="13" t="s">
        <v>810</v>
      </c>
      <c r="V62" s="22" t="s">
        <v>159</v>
      </c>
      <c r="W62" s="406" t="e">
        <f>IF($W$42=3,AA23/W$32*1000,IF($W$42=1,W70/W$32*1000,W74/W$32*1000))</f>
        <v>#DIV/0!</v>
      </c>
      <c r="X62" s="358" t="s">
        <v>922</v>
      </c>
      <c r="Y62" s="337"/>
      <c r="Z62" s="338"/>
      <c r="AA62" s="406" t="e">
        <f>IF($W$42=3,AI23/AA$32*1000,IF($W$42=1,AA70/AA$32*1000,AA74/AA$32*1000))</f>
        <v>#DIV/0!</v>
      </c>
      <c r="AB62" s="358" t="s">
        <v>923</v>
      </c>
      <c r="AC62" s="337"/>
      <c r="AD62" s="54"/>
      <c r="AE62" s="406" t="e">
        <f>IF($W$42=3,AP23/AP$32*1000,IF($W$42=1,AE70/AP$32*1000,AE74/AP$32*1000))</f>
        <v>#DIV/0!</v>
      </c>
      <c r="AF62" s="351" t="s">
        <v>924</v>
      </c>
      <c r="AG62" s="22"/>
      <c r="AH62" s="13"/>
      <c r="AI62" s="271"/>
    </row>
    <row r="63" spans="2:35" ht="15.6" customHeight="1" x14ac:dyDescent="0.15">
      <c r="B63" s="616"/>
      <c r="C63" s="617"/>
      <c r="D63" s="617"/>
      <c r="E63" s="617"/>
      <c r="F63" s="617"/>
      <c r="G63" s="617"/>
      <c r="H63" s="617"/>
      <c r="I63" s="617"/>
      <c r="J63" s="617"/>
      <c r="K63" s="617"/>
      <c r="L63" s="617"/>
      <c r="M63" s="617"/>
      <c r="N63" s="617"/>
      <c r="O63" s="617"/>
      <c r="P63" s="617"/>
      <c r="Q63" s="617"/>
      <c r="R63" s="618"/>
      <c r="T63" s="10"/>
      <c r="U63" s="13" t="s">
        <v>811</v>
      </c>
      <c r="V63" s="22" t="s">
        <v>159</v>
      </c>
      <c r="W63" s="407" t="e">
        <f>IF($W$42=3,AA24/W$32*1000,IF($W$42=1,W71/W$32*1000,W75/W$32*1000))</f>
        <v>#DIV/0!</v>
      </c>
      <c r="X63" s="359" t="s">
        <v>925</v>
      </c>
      <c r="Y63" s="310"/>
      <c r="Z63" s="311"/>
      <c r="AA63" s="407" t="e">
        <f>IF($W$42=3,AI24/AA$32*1000,IF($W$42=1,AA71/AA$32*1000,AA75/AA$32*1000))</f>
        <v>#DIV/0!</v>
      </c>
      <c r="AB63" s="359" t="s">
        <v>926</v>
      </c>
      <c r="AC63" s="310"/>
      <c r="AD63" s="309"/>
      <c r="AE63" s="407" t="e">
        <f>IF($W$42=3,AP24/AP$32*1000,IF($W$42=1,AE71/AP$32*1000,AE75/AP$32*1000))</f>
        <v>#DIV/0!</v>
      </c>
      <c r="AF63" s="351" t="s">
        <v>927</v>
      </c>
      <c r="AG63" s="22"/>
      <c r="AH63" s="13"/>
      <c r="AI63" s="271"/>
    </row>
    <row r="64" spans="2:35" ht="15.6" customHeight="1" x14ac:dyDescent="0.15">
      <c r="B64" s="616"/>
      <c r="C64" s="617"/>
      <c r="D64" s="617"/>
      <c r="E64" s="617"/>
      <c r="F64" s="617"/>
      <c r="G64" s="617"/>
      <c r="H64" s="617"/>
      <c r="I64" s="617"/>
      <c r="J64" s="617"/>
      <c r="K64" s="617"/>
      <c r="L64" s="617"/>
      <c r="M64" s="617"/>
      <c r="N64" s="617"/>
      <c r="O64" s="617"/>
      <c r="P64" s="617"/>
      <c r="Q64" s="617"/>
      <c r="R64" s="618"/>
      <c r="T64" s="10"/>
      <c r="U64" s="262" t="s">
        <v>809</v>
      </c>
      <c r="V64" s="13"/>
      <c r="W64" s="2"/>
      <c r="X64" s="22"/>
      <c r="Y64" s="57"/>
      <c r="Z64" s="61"/>
      <c r="AA64" s="312"/>
      <c r="AB64" s="22"/>
      <c r="AC64" s="57"/>
      <c r="AD64" s="13"/>
      <c r="AE64" s="312"/>
      <c r="AF64" s="22"/>
      <c r="AG64" s="13"/>
      <c r="AH64" s="13"/>
      <c r="AI64" s="271"/>
    </row>
    <row r="65" spans="2:38" ht="15.6" customHeight="1" x14ac:dyDescent="0.15">
      <c r="B65" s="616"/>
      <c r="C65" s="617"/>
      <c r="D65" s="617"/>
      <c r="E65" s="617"/>
      <c r="F65" s="617"/>
      <c r="G65" s="617"/>
      <c r="H65" s="617"/>
      <c r="I65" s="617"/>
      <c r="J65" s="617"/>
      <c r="K65" s="617"/>
      <c r="L65" s="617"/>
      <c r="M65" s="617"/>
      <c r="N65" s="617"/>
      <c r="O65" s="617"/>
      <c r="P65" s="617"/>
      <c r="Q65" s="617"/>
      <c r="R65" s="618"/>
      <c r="T65" s="10"/>
      <c r="U65" s="13" t="s">
        <v>812</v>
      </c>
      <c r="V65" s="22" t="s">
        <v>821</v>
      </c>
      <c r="W65" s="93" t="e">
        <f>IF(W42=2,W73/(W28*(1-E18)-W29*charFracC/fuelFracC),IF(W56&gt;0,((AA18-$N21)*44/12)/(W$56/fuelFracC)*1000,0))</f>
        <v>#DIV/0!</v>
      </c>
      <c r="X65" s="351" t="s">
        <v>902</v>
      </c>
      <c r="Y65" s="57"/>
      <c r="Z65" s="61"/>
      <c r="AA65" s="85" t="e">
        <f>IF(W42=2,AA73/(AA28*(1-E18)-AA29*charFracC/fuelFracC),IF(AA56&gt;0,((AI18-$N21)*44/12)/(AA$56/fuelFracC)*1000,0))</f>
        <v>#DIV/0!</v>
      </c>
      <c r="AB65" s="351" t="s">
        <v>903</v>
      </c>
      <c r="AC65" s="57"/>
      <c r="AD65" s="13"/>
      <c r="AE65" s="85" t="e">
        <f>IF(W42=2,AE73/(AP28*(1-E18)-AP29*charFracC/fuelFracC),IF(AE56&gt;0,((AP18-$N21)*44/12)/(AE$56/fuelFracC)*1000,0))</f>
        <v>#DIV/0!</v>
      </c>
      <c r="AF65" s="351" t="s">
        <v>904</v>
      </c>
      <c r="AG65" s="13"/>
      <c r="AH65" s="13"/>
      <c r="AI65" s="271"/>
    </row>
    <row r="66" spans="2:38" ht="15.6" customHeight="1" x14ac:dyDescent="0.15">
      <c r="B66" s="616"/>
      <c r="C66" s="617"/>
      <c r="D66" s="617"/>
      <c r="E66" s="617"/>
      <c r="F66" s="617"/>
      <c r="G66" s="617"/>
      <c r="H66" s="617"/>
      <c r="I66" s="617"/>
      <c r="J66" s="617"/>
      <c r="K66" s="617"/>
      <c r="L66" s="617"/>
      <c r="M66" s="617"/>
      <c r="N66" s="617"/>
      <c r="O66" s="617"/>
      <c r="P66" s="617"/>
      <c r="Q66" s="617"/>
      <c r="R66" s="618"/>
      <c r="T66" s="10"/>
      <c r="U66" s="13" t="s">
        <v>810</v>
      </c>
      <c r="V66" s="22" t="s">
        <v>821</v>
      </c>
      <c r="W66" s="406" t="e">
        <f>IF(W42=2,W74/(W28*(1-E18)-W29*charFracC/fuelFracC),IF(W56&gt;0,((AA19-$N22)*28/12)/(W$56/fuelFracC)*1000,0))</f>
        <v>#DIV/0!</v>
      </c>
      <c r="X66" s="351" t="s">
        <v>899</v>
      </c>
      <c r="Y66" s="325"/>
      <c r="Z66" s="326"/>
      <c r="AA66" s="406" t="e">
        <f>IF(W42=2,AA74/(AA28*(1-E18)-AA29*charFracC/fuelFracC),IF(AA56&gt;0,((AI19-$N22)*28/12)/(AA$56/fuelFracC)*1000,0))</f>
        <v>#DIV/0!</v>
      </c>
      <c r="AB66" s="351" t="s">
        <v>900</v>
      </c>
      <c r="AC66" s="325"/>
      <c r="AD66" s="324"/>
      <c r="AE66" s="406" t="e">
        <f>IF(W42=2,AE74/(AP28*(1-E18)-AP29*charFracC/fuelFracC),IF(AE56&gt;0,((AP19-$N22)*28/12)/(AE$56/fuelFracC)*1000,0))</f>
        <v>#DIV/0!</v>
      </c>
      <c r="AF66" s="351" t="s">
        <v>901</v>
      </c>
      <c r="AG66" s="13"/>
      <c r="AH66" s="13"/>
      <c r="AI66" s="271"/>
      <c r="AL66" s="394"/>
    </row>
    <row r="67" spans="2:38" ht="15.6" customHeight="1" x14ac:dyDescent="0.15">
      <c r="B67" s="616"/>
      <c r="C67" s="617"/>
      <c r="D67" s="617"/>
      <c r="E67" s="617"/>
      <c r="F67" s="617"/>
      <c r="G67" s="617"/>
      <c r="H67" s="617"/>
      <c r="I67" s="617"/>
      <c r="J67" s="617"/>
      <c r="K67" s="617"/>
      <c r="L67" s="617"/>
      <c r="M67" s="617"/>
      <c r="N67" s="617"/>
      <c r="O67" s="617"/>
      <c r="P67" s="617"/>
      <c r="Q67" s="617"/>
      <c r="R67" s="618"/>
      <c r="T67" s="10"/>
      <c r="U67" s="13" t="s">
        <v>811</v>
      </c>
      <c r="V67" s="22" t="s">
        <v>821</v>
      </c>
      <c r="W67" s="408" t="e">
        <f>IF(W42=2,W75/(W28*(1-E18)-W29*charFracC/fuelFracC),IF(W57&gt;0,(AA20-$N23)/(W$57/fuelFracC)*1000/1000000,0))</f>
        <v>#DIV/0!</v>
      </c>
      <c r="X67" s="351" t="s">
        <v>905</v>
      </c>
      <c r="Y67" s="310"/>
      <c r="Z67" s="311"/>
      <c r="AA67" s="407" t="e">
        <f>IF(W42=2,AA75/(AA28*(1-E18)-AA29*charFracC/fuelFracC),IF(AA57&gt;0,(AI20-$N23)/(AA$57/fuelFracC)*1000/1000000,0))</f>
        <v>#DIV/0!</v>
      </c>
      <c r="AB67" s="351" t="s">
        <v>906</v>
      </c>
      <c r="AC67" s="310"/>
      <c r="AD67" s="309"/>
      <c r="AE67" s="407" t="e">
        <f>IF(W42=2,AE75/(AP28*(1-E18)-AP29*charFracC/fuelFracC),IF(AE57&gt;0,(AP20-$N23)/(AE$57/fuelFracC)*1000/1000000,0))</f>
        <v>#DIV/0!</v>
      </c>
      <c r="AF67" s="351" t="s">
        <v>907</v>
      </c>
      <c r="AG67" s="13"/>
      <c r="AH67" s="13"/>
      <c r="AI67" s="271"/>
    </row>
    <row r="68" spans="2:38" ht="15.6" customHeight="1" x14ac:dyDescent="0.15">
      <c r="B68" s="616"/>
      <c r="C68" s="617"/>
      <c r="D68" s="617"/>
      <c r="E68" s="617"/>
      <c r="F68" s="617"/>
      <c r="G68" s="617"/>
      <c r="H68" s="617"/>
      <c r="I68" s="617"/>
      <c r="J68" s="617"/>
      <c r="K68" s="617"/>
      <c r="L68" s="617"/>
      <c r="M68" s="617"/>
      <c r="N68" s="617"/>
      <c r="O68" s="617"/>
      <c r="P68" s="617"/>
      <c r="Q68" s="617"/>
      <c r="R68" s="618"/>
      <c r="T68" s="10"/>
      <c r="U68" s="262" t="s">
        <v>947</v>
      </c>
      <c r="V68" s="13"/>
      <c r="W68" s="2"/>
      <c r="X68" s="22"/>
      <c r="Y68" s="57"/>
      <c r="Z68" s="61"/>
      <c r="AA68" s="312"/>
      <c r="AB68" s="22"/>
      <c r="AC68" s="57"/>
      <c r="AD68" s="13"/>
      <c r="AE68" s="312"/>
      <c r="AF68" s="22"/>
      <c r="AG68" s="13"/>
      <c r="AH68" s="13"/>
      <c r="AI68" s="271"/>
    </row>
    <row r="69" spans="2:38" ht="15.6" customHeight="1" x14ac:dyDescent="0.15">
      <c r="B69" s="616"/>
      <c r="C69" s="617"/>
      <c r="D69" s="617"/>
      <c r="E69" s="617"/>
      <c r="F69" s="617"/>
      <c r="G69" s="617"/>
      <c r="H69" s="617"/>
      <c r="I69" s="617"/>
      <c r="J69" s="617"/>
      <c r="K69" s="617"/>
      <c r="L69" s="617"/>
      <c r="M69" s="617"/>
      <c r="N69" s="617"/>
      <c r="O69" s="617"/>
      <c r="P69" s="617"/>
      <c r="Q69" s="617"/>
      <c r="R69" s="618"/>
      <c r="T69" s="10"/>
      <c r="U69" s="13" t="s">
        <v>812</v>
      </c>
      <c r="V69" s="22" t="s">
        <v>20</v>
      </c>
      <c r="W69" s="93" t="e">
        <f>W65*(W28*(1-$E$18)-W29*charFracC/fuelFracC)/1000</f>
        <v>#DIV/0!</v>
      </c>
      <c r="X69" s="360" t="s">
        <v>914</v>
      </c>
      <c r="Y69" s="361"/>
      <c r="Z69" s="362"/>
      <c r="AA69" s="85" t="e">
        <f>AA65*(AA28*(1-$E$18)-AA29*charFracC/fuelFracC)/1000</f>
        <v>#DIV/0!</v>
      </c>
      <c r="AB69" s="360" t="s">
        <v>915</v>
      </c>
      <c r="AC69" s="361"/>
      <c r="AD69" s="363"/>
      <c r="AE69" s="85" t="e">
        <f>AE65*(AP28*(1-$E$18)-AP29*charFracC/fuelFracC)/1000</f>
        <v>#DIV/0!</v>
      </c>
      <c r="AF69" s="351" t="s">
        <v>916</v>
      </c>
      <c r="AG69" s="13"/>
      <c r="AH69" s="13"/>
      <c r="AI69" s="271"/>
    </row>
    <row r="70" spans="2:38" ht="15.6" customHeight="1" x14ac:dyDescent="0.15">
      <c r="B70" s="613"/>
      <c r="C70" s="614"/>
      <c r="D70" s="614"/>
      <c r="E70" s="614"/>
      <c r="F70" s="614"/>
      <c r="G70" s="614"/>
      <c r="H70" s="614"/>
      <c r="I70" s="614"/>
      <c r="J70" s="614"/>
      <c r="K70" s="614"/>
      <c r="L70" s="614"/>
      <c r="M70" s="614"/>
      <c r="N70" s="614"/>
      <c r="O70" s="614"/>
      <c r="P70" s="614"/>
      <c r="Q70" s="614"/>
      <c r="R70" s="615"/>
      <c r="T70" s="10"/>
      <c r="U70" s="13" t="s">
        <v>810</v>
      </c>
      <c r="V70" s="22" t="s">
        <v>20</v>
      </c>
      <c r="W70" s="401" t="e">
        <f>W66*(W28*(1-$E$18)-W29*charFracC/fuelFracC)/1000</f>
        <v>#DIV/0!</v>
      </c>
      <c r="X70" s="358" t="s">
        <v>911</v>
      </c>
      <c r="Y70" s="337"/>
      <c r="Z70" s="338"/>
      <c r="AA70" s="406" t="e">
        <f>AA66*(AA28*(1-$E$18)-AA29*charFracC/fuelFracC)/1000</f>
        <v>#DIV/0!</v>
      </c>
      <c r="AB70" s="358" t="s">
        <v>912</v>
      </c>
      <c r="AC70" s="337"/>
      <c r="AD70" s="54"/>
      <c r="AE70" s="406" t="e">
        <f>AE66*(AP28*(1-$E$18)-AP29*charFracC/fuelFracC)/1000</f>
        <v>#DIV/0!</v>
      </c>
      <c r="AF70" s="351" t="s">
        <v>913</v>
      </c>
      <c r="AG70" s="13"/>
      <c r="AH70" s="13"/>
      <c r="AI70" s="271"/>
    </row>
    <row r="71" spans="2:38" ht="15.6" customHeight="1" x14ac:dyDescent="0.15">
      <c r="T71" s="10"/>
      <c r="U71" s="13" t="s">
        <v>811</v>
      </c>
      <c r="V71" s="22" t="s">
        <v>20</v>
      </c>
      <c r="W71" s="408" t="e">
        <f>W67*(W28*(1-$E$18)-W29*charFracC/fuelFracC)/1000</f>
        <v>#DIV/0!</v>
      </c>
      <c r="X71" s="359" t="s">
        <v>908</v>
      </c>
      <c r="Y71" s="310"/>
      <c r="Z71" s="311"/>
      <c r="AA71" s="407" t="e">
        <f>AA67*(AA28*(1-$E$18)-AA29*charFracC/fuelFracC)/1000</f>
        <v>#DIV/0!</v>
      </c>
      <c r="AB71" s="359" t="s">
        <v>909</v>
      </c>
      <c r="AC71" s="310"/>
      <c r="AD71" s="309"/>
      <c r="AE71" s="407" t="e">
        <f>AE67*(AP28*(1-$E$18)-AP29*charFracC/fuelFracC)/1000</f>
        <v>#DIV/0!</v>
      </c>
      <c r="AF71" s="351" t="s">
        <v>910</v>
      </c>
      <c r="AG71" s="13"/>
      <c r="AH71" s="13"/>
      <c r="AI71" s="271"/>
    </row>
    <row r="72" spans="2:38" ht="15.6" customHeight="1" x14ac:dyDescent="0.15">
      <c r="T72" s="10"/>
      <c r="U72" s="262" t="s">
        <v>948</v>
      </c>
      <c r="V72" s="13"/>
      <c r="W72" s="312"/>
      <c r="X72" s="22"/>
      <c r="Y72" s="57"/>
      <c r="Z72" s="61"/>
      <c r="AA72" s="2"/>
      <c r="AB72" s="22"/>
      <c r="AC72" s="57"/>
      <c r="AD72" s="13"/>
      <c r="AE72" s="312"/>
      <c r="AF72" s="22"/>
      <c r="AG72" s="13"/>
      <c r="AH72" s="21"/>
    </row>
    <row r="73" spans="2:38" ht="15.6" customHeight="1" x14ac:dyDescent="0.15">
      <c r="T73" s="10"/>
      <c r="U73" s="13" t="s">
        <v>812</v>
      </c>
      <c r="V73" s="22" t="s">
        <v>20</v>
      </c>
      <c r="W73" s="85">
        <f>W55*(AA18-N21)*(44*'General Information'!C22)/(0.008314*(AA21+273.15))/1000000</f>
        <v>0</v>
      </c>
      <c r="X73" s="360" t="s">
        <v>914</v>
      </c>
      <c r="Y73" s="361"/>
      <c r="Z73" s="362"/>
      <c r="AA73" s="93">
        <f>AA55*(AI18-N21)*(44*'General Information'!C22)/(0.008314*(AI21+273.15))/1000000</f>
        <v>0</v>
      </c>
      <c r="AB73" s="360" t="s">
        <v>915</v>
      </c>
      <c r="AC73" s="361"/>
      <c r="AD73" s="363"/>
      <c r="AE73" s="85">
        <f>AE55*(AP18-N21)*(44*'General Information'!C22)/(0.008314*(AP21+273.15))/1000000</f>
        <v>0</v>
      </c>
      <c r="AF73" s="351" t="s">
        <v>916</v>
      </c>
      <c r="AG73" s="13"/>
      <c r="AH73" s="21"/>
    </row>
    <row r="74" spans="2:38" ht="15.6" customHeight="1" x14ac:dyDescent="0.15">
      <c r="T74" s="10"/>
      <c r="U74" s="13" t="s">
        <v>810</v>
      </c>
      <c r="V74" s="22" t="s">
        <v>20</v>
      </c>
      <c r="W74" s="406">
        <f>W55*(AA19-N22)*(28*'General Information'!C22)/(0.008314*(AA21+273.15))/1000000</f>
        <v>0</v>
      </c>
      <c r="X74" s="358" t="s">
        <v>911</v>
      </c>
      <c r="Y74" s="337"/>
      <c r="Z74" s="338"/>
      <c r="AA74" s="401">
        <f>AA55*(AI19-N22)*(28*'General Information'!C22)/(0.008314*(AI21+273.15))/1000000</f>
        <v>0</v>
      </c>
      <c r="AB74" s="358" t="s">
        <v>912</v>
      </c>
      <c r="AC74" s="337"/>
      <c r="AD74" s="54"/>
      <c r="AE74" s="406">
        <f>AE55*(AP19-N22)*(28*'General Information'!C22)/(0.008314*(AP21+273.15))/1000000</f>
        <v>0</v>
      </c>
      <c r="AF74" s="351" t="s">
        <v>913</v>
      </c>
      <c r="AG74" s="13"/>
      <c r="AH74" s="21"/>
    </row>
    <row r="75" spans="2:38" ht="15.6" customHeight="1" thickBot="1" x14ac:dyDescent="0.2">
      <c r="T75" s="10"/>
      <c r="U75" s="13" t="s">
        <v>811</v>
      </c>
      <c r="V75" s="22" t="s">
        <v>20</v>
      </c>
      <c r="W75" s="407">
        <f>W55*(AA20-N23)/1000000</f>
        <v>0</v>
      </c>
      <c r="X75" s="359" t="s">
        <v>908</v>
      </c>
      <c r="Y75" s="310"/>
      <c r="Z75" s="311"/>
      <c r="AA75" s="408">
        <f>AA55*(AI20-N23)/1000000</f>
        <v>0</v>
      </c>
      <c r="AB75" s="359" t="s">
        <v>909</v>
      </c>
      <c r="AC75" s="310"/>
      <c r="AD75" s="309"/>
      <c r="AE75" s="407">
        <f>AE55*(AP20-N23)/1000000</f>
        <v>0</v>
      </c>
      <c r="AF75" s="351" t="s">
        <v>910</v>
      </c>
      <c r="AG75" s="13"/>
      <c r="AH75" s="21"/>
    </row>
    <row r="76" spans="2:38" ht="15.6" customHeight="1" thickTop="1" x14ac:dyDescent="0.15">
      <c r="T76" s="258"/>
      <c r="U76" s="259" t="s">
        <v>818</v>
      </c>
      <c r="V76" s="259"/>
      <c r="W76" s="313"/>
      <c r="X76" s="352"/>
      <c r="Y76" s="259"/>
      <c r="Z76" s="259"/>
      <c r="AA76" s="259"/>
      <c r="AB76" s="259"/>
      <c r="AC76" s="259"/>
      <c r="AD76" s="259"/>
      <c r="AE76" s="259"/>
      <c r="AF76" s="259"/>
      <c r="AG76" s="259"/>
      <c r="AH76" s="297"/>
    </row>
    <row r="77" spans="2:38" ht="15" customHeight="1" x14ac:dyDescent="0.15">
      <c r="T77" s="10"/>
      <c r="U77" s="13" t="s">
        <v>819</v>
      </c>
      <c r="V77" s="13" t="s">
        <v>20</v>
      </c>
      <c r="W77" s="406" t="e">
        <f>(IF(ISERROR(AA$38),W62,AVERAGE(W62,AA62))+AE62)*5</f>
        <v>#DIV/0!</v>
      </c>
      <c r="X77" s="22" t="s">
        <v>917</v>
      </c>
      <c r="Y77" s="13"/>
      <c r="Z77" s="13"/>
      <c r="AA77" s="13"/>
      <c r="AB77" s="13"/>
      <c r="AC77" s="13"/>
      <c r="AD77" s="13"/>
      <c r="AE77" s="13"/>
      <c r="AF77" s="13"/>
      <c r="AG77" s="13"/>
      <c r="AH77" s="21"/>
    </row>
    <row r="78" spans="2:38" ht="15" customHeight="1" thickBot="1" x14ac:dyDescent="0.2">
      <c r="T78" s="113"/>
      <c r="U78" s="114" t="s">
        <v>820</v>
      </c>
      <c r="V78" s="114" t="s">
        <v>20</v>
      </c>
      <c r="W78" s="409" t="e">
        <f>(IF(ISERROR(AA$38),W63,AVERAGE(W63,AA63))+AE63)*5</f>
        <v>#DIV/0!</v>
      </c>
      <c r="X78" s="115" t="s">
        <v>918</v>
      </c>
      <c r="Y78" s="114"/>
      <c r="Z78" s="114"/>
      <c r="AA78" s="114"/>
      <c r="AB78" s="114"/>
      <c r="AC78" s="114"/>
      <c r="AD78" s="114"/>
      <c r="AE78" s="114"/>
      <c r="AF78" s="114"/>
      <c r="AG78" s="114"/>
      <c r="AH78" s="298"/>
    </row>
    <row r="79" spans="2:38" ht="15" customHeight="1" thickTop="1" x14ac:dyDescent="0.15"/>
  </sheetData>
  <mergeCells count="82">
    <mergeCell ref="A2:S2"/>
    <mergeCell ref="W2:AB2"/>
    <mergeCell ref="AE2:AJ2"/>
    <mergeCell ref="AL2:AQ2"/>
    <mergeCell ref="W3:X3"/>
    <mergeCell ref="AA3:AB3"/>
    <mergeCell ref="AE3:AF3"/>
    <mergeCell ref="AI3:AJ3"/>
    <mergeCell ref="AL3:AM3"/>
    <mergeCell ref="D10:K10"/>
    <mergeCell ref="AP3:AQ3"/>
    <mergeCell ref="AA4:AB4"/>
    <mergeCell ref="AI4:AJ4"/>
    <mergeCell ref="AL4:AM4"/>
    <mergeCell ref="AP4:AQ4"/>
    <mergeCell ref="D6:K6"/>
    <mergeCell ref="M6:P6"/>
    <mergeCell ref="D7:K7"/>
    <mergeCell ref="M7:P7"/>
    <mergeCell ref="D8:K8"/>
    <mergeCell ref="M8:P8"/>
    <mergeCell ref="D9:K9"/>
    <mergeCell ref="D11:K11"/>
    <mergeCell ref="B14:D14"/>
    <mergeCell ref="B15:D15"/>
    <mergeCell ref="K15:M15"/>
    <mergeCell ref="B16:D16"/>
    <mergeCell ref="K16:M16"/>
    <mergeCell ref="B23:D23"/>
    <mergeCell ref="W16:X16"/>
    <mergeCell ref="AE16:AF16"/>
    <mergeCell ref="AL16:AM16"/>
    <mergeCell ref="E17:G17"/>
    <mergeCell ref="K17:M17"/>
    <mergeCell ref="B18:D18"/>
    <mergeCell ref="K18:M18"/>
    <mergeCell ref="B19:D19"/>
    <mergeCell ref="K19:M19"/>
    <mergeCell ref="B20:D20"/>
    <mergeCell ref="K20:M20"/>
    <mergeCell ref="B21:D21"/>
    <mergeCell ref="B42:R42"/>
    <mergeCell ref="B33:R33"/>
    <mergeCell ref="B41:R41"/>
    <mergeCell ref="E25:R25"/>
    <mergeCell ref="B26:R26"/>
    <mergeCell ref="B27:R27"/>
    <mergeCell ref="B29:R29"/>
    <mergeCell ref="B30:R30"/>
    <mergeCell ref="B31:R31"/>
    <mergeCell ref="B28:R28"/>
    <mergeCell ref="B32:R32"/>
    <mergeCell ref="B34:R34"/>
    <mergeCell ref="B35:R35"/>
    <mergeCell ref="B39:R39"/>
    <mergeCell ref="B40:R40"/>
    <mergeCell ref="B58:R58"/>
    <mergeCell ref="B52:R52"/>
    <mergeCell ref="B57:R57"/>
    <mergeCell ref="B43:R43"/>
    <mergeCell ref="B44:R44"/>
    <mergeCell ref="B45:R45"/>
    <mergeCell ref="B47:R47"/>
    <mergeCell ref="B48:R48"/>
    <mergeCell ref="B50:R50"/>
    <mergeCell ref="B46:R46"/>
    <mergeCell ref="B51:R51"/>
    <mergeCell ref="B53:R53"/>
    <mergeCell ref="B54:R54"/>
    <mergeCell ref="B55:R55"/>
    <mergeCell ref="B56:R56"/>
    <mergeCell ref="B67:R67"/>
    <mergeCell ref="B69:R69"/>
    <mergeCell ref="B70:R70"/>
    <mergeCell ref="B59:R59"/>
    <mergeCell ref="B61:R61"/>
    <mergeCell ref="B62:R62"/>
    <mergeCell ref="B64:R64"/>
    <mergeCell ref="B65:R65"/>
    <mergeCell ref="B66:R66"/>
    <mergeCell ref="B63:R63"/>
    <mergeCell ref="B68:R68"/>
  </mergeCells>
  <conditionalFormatting sqref="W28:W40 AA28:AA40 AP28:AP41 AE44:AF51 W55:W75 AA55:AA75 AE55:AE75 W77:W78">
    <cfRule type="containsErrors" dxfId="8" priority="1" stopIfTrue="1">
      <formula>ISERROR(W28)</formula>
    </cfRule>
  </conditionalFormatting>
  <pageMargins left="0.74791666666666667" right="0.74791666666666667" top="0.75" bottom="0.75" header="0.51180555555555551" footer="0.5"/>
  <pageSetup scale="90" firstPageNumber="0" orientation="landscape" horizontalDpi="300" verticalDpi="300" r:id="rId1"/>
  <headerFooter alignWithMargins="0">
    <oddFooter>&amp;L&amp;F&amp;C&amp;A&amp;RPage &amp;P</oddFooter>
  </headerFooter>
  <rowBreaks count="1" manualBreakCount="1">
    <brk id="37" max="16383" man="1"/>
  </rowBreaks>
  <colBreaks count="2" manualBreakCount="2">
    <brk id="19" max="1048575" man="1"/>
    <brk id="52" max="1048575" man="1"/>
  </colBreaks>
  <ignoredErrors>
    <ignoredError sqref="N20 E19 E22:E23 D9:K11"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omboBox">
              <controlPr defaultSize="0" autoFill="0" autoLine="0" autoPict="0">
                <anchor moveWithCells="1" sizeWithCells="1">
                  <from>
                    <xdr:col>3</xdr:col>
                    <xdr:colOff>838200</xdr:colOff>
                    <xdr:row>15</xdr:row>
                    <xdr:rowOff>28575</xdr:rowOff>
                  </from>
                  <to>
                    <xdr:col>7</xdr:col>
                    <xdr:colOff>123825</xdr:colOff>
                    <xdr:row>16</xdr:row>
                    <xdr:rowOff>28575</xdr:rowOff>
                  </to>
                </anchor>
              </controlPr>
            </control>
          </mc:Choice>
        </mc:AlternateContent>
        <mc:AlternateContent xmlns:mc="http://schemas.openxmlformats.org/markup-compatibility/2006">
          <mc:Choice Requires="x14">
            <control shapeId="17410" r:id="rId5" name="Drop Down 2">
              <controlPr defaultSize="0" autoLine="0" autoPict="0">
                <anchor moveWithCells="1">
                  <from>
                    <xdr:col>21</xdr:col>
                    <xdr:colOff>0</xdr:colOff>
                    <xdr:row>41</xdr:row>
                    <xdr:rowOff>9525</xdr:rowOff>
                  </from>
                  <to>
                    <xdr:col>22</xdr:col>
                    <xdr:colOff>619125</xdr:colOff>
                    <xdr:row>42</xdr:row>
                    <xdr:rowOff>9525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DU79"/>
  <sheetViews>
    <sheetView showGridLines="0" showZeros="0" zoomScaleNormal="100" zoomScaleSheetLayoutView="100" workbookViewId="0">
      <selection activeCell="D6" sqref="D6:K6"/>
    </sheetView>
  </sheetViews>
  <sheetFormatPr defaultColWidth="15.640625" defaultRowHeight="27.95" customHeight="1" x14ac:dyDescent="0.15"/>
  <cols>
    <col min="1" max="1" width="1.75" style="1" customWidth="1"/>
    <col min="2" max="2" width="14.5625" style="1" customWidth="1"/>
    <col min="3" max="3" width="6.60546875" style="2" customWidth="1"/>
    <col min="4" max="4" width="12.67578125" style="1" customWidth="1"/>
    <col min="5" max="5" width="8.08984375" style="1" customWidth="1"/>
    <col min="6" max="6" width="2.01953125" style="1" customWidth="1"/>
    <col min="7" max="7" width="5.93359375" style="1" customWidth="1"/>
    <col min="8" max="8" width="2.01953125" style="2" customWidth="1"/>
    <col min="9" max="9" width="7.28125" style="2" customWidth="1"/>
    <col min="10" max="10" width="1.75" style="2" customWidth="1"/>
    <col min="11" max="11" width="14.42578125" style="2" customWidth="1"/>
    <col min="12" max="12" width="5.66015625" style="2" customWidth="1"/>
    <col min="13" max="13" width="14.5625" style="2" customWidth="1"/>
    <col min="14" max="14" width="7.68359375" style="2" customWidth="1"/>
    <col min="15" max="15" width="2.01953125" style="2" customWidth="1"/>
    <col min="16" max="16" width="6.60546875" style="2" customWidth="1"/>
    <col min="17" max="17" width="2.01953125" style="2" customWidth="1"/>
    <col min="18" max="18" width="7.28125" style="2" customWidth="1"/>
    <col min="19" max="19" width="1.75" style="1" customWidth="1"/>
    <col min="20" max="20" width="1.75" style="3" customWidth="1"/>
    <col min="21" max="21" width="25.484375" style="3" customWidth="1"/>
    <col min="22" max="22" width="13.88671875" style="3" bestFit="1" customWidth="1"/>
    <col min="23" max="23" width="12" style="3" customWidth="1"/>
    <col min="24" max="24" width="5.390625" style="3" customWidth="1"/>
    <col min="25" max="25" width="0.5390625" style="3" customWidth="1"/>
    <col min="26" max="26" width="0.80859375" style="3" customWidth="1"/>
    <col min="27" max="27" width="8.76171875" style="3" customWidth="1"/>
    <col min="28" max="28" width="6.7421875" style="3" customWidth="1"/>
    <col min="29" max="30" width="0.80859375" style="3" customWidth="1"/>
    <col min="31" max="31" width="8.08984375" style="3" customWidth="1"/>
    <col min="32" max="32" width="5.796875" style="3" customWidth="1"/>
    <col min="33" max="33" width="0.80859375" style="3" customWidth="1"/>
    <col min="34" max="34" width="0.671875" style="3" customWidth="1"/>
    <col min="35" max="35" width="8.08984375" style="3" customWidth="1"/>
    <col min="36" max="36" width="5.12109375" style="3" customWidth="1"/>
    <col min="37" max="37" width="0.80859375" style="3" customWidth="1"/>
    <col min="38" max="38" width="8.62890625" style="3" customWidth="1"/>
    <col min="39" max="39" width="7.28125" style="3" customWidth="1"/>
    <col min="40" max="41" width="0.94140625" style="3" customWidth="1"/>
    <col min="42" max="42" width="8.08984375" style="3" customWidth="1"/>
    <col min="43" max="43" width="6.203125" style="3" customWidth="1"/>
    <col min="44" max="44" width="1.75" style="3" customWidth="1"/>
    <col min="45" max="45" width="8.359375" customWidth="1"/>
    <col min="46" max="46" width="5.796875" customWidth="1"/>
    <col min="47" max="47" width="6.47265625" customWidth="1"/>
    <col min="48" max="48" width="5.390625" customWidth="1"/>
    <col min="49" max="49" width="6.7421875" customWidth="1"/>
    <col min="50" max="50" width="7.4140625" customWidth="1"/>
    <col min="51" max="51" width="20.90234375" customWidth="1"/>
    <col min="52" max="53" width="1.75" customWidth="1"/>
    <col min="54" max="54" width="33.7109375" customWidth="1"/>
    <col min="55" max="55" width="5.796875" customWidth="1"/>
    <col min="56" max="56" width="6.47265625" customWidth="1"/>
    <col min="57" max="57" width="5.390625" customWidth="1"/>
    <col min="58" max="58" width="6.7421875" customWidth="1"/>
    <col min="59" max="59" width="7.4140625" customWidth="1"/>
    <col min="60" max="60" width="20.90234375" customWidth="1"/>
    <col min="61" max="61" width="0" hidden="1" customWidth="1"/>
    <col min="62" max="70" width="9.03515625" customWidth="1"/>
    <col min="71" max="122" width="8.8984375" customWidth="1"/>
    <col min="123" max="16384" width="15.640625" style="1"/>
  </cols>
  <sheetData>
    <row r="1" spans="1:125" ht="6" customHeight="1" thickTop="1" thickBot="1" x14ac:dyDescent="0.2">
      <c r="A1" s="4"/>
      <c r="B1" s="5"/>
      <c r="C1" s="5"/>
      <c r="D1" s="5"/>
      <c r="E1" s="5"/>
      <c r="F1" s="5"/>
      <c r="G1" s="5"/>
      <c r="H1" s="5"/>
      <c r="I1" s="5"/>
      <c r="J1" s="5"/>
      <c r="K1" s="5"/>
      <c r="L1" s="5"/>
      <c r="M1" s="5"/>
      <c r="N1" s="5"/>
      <c r="O1" s="5"/>
      <c r="P1" s="5"/>
      <c r="Q1" s="5"/>
      <c r="R1" s="5"/>
      <c r="S1" s="6"/>
      <c r="T1" s="7"/>
      <c r="U1" s="8"/>
      <c r="V1" s="8"/>
      <c r="W1" s="8"/>
      <c r="X1" s="8"/>
      <c r="Y1" s="8"/>
      <c r="Z1" s="8"/>
      <c r="AA1" s="8"/>
      <c r="AB1" s="8"/>
      <c r="AC1" s="8"/>
      <c r="AD1" s="8"/>
      <c r="AE1" s="8"/>
      <c r="AF1" s="8"/>
      <c r="AG1" s="8"/>
      <c r="AH1" s="8"/>
      <c r="AI1" s="8"/>
      <c r="AJ1" s="8"/>
      <c r="AK1" s="8"/>
      <c r="AL1" s="8"/>
      <c r="AM1" s="8"/>
      <c r="AN1" s="8"/>
      <c r="AO1" s="8"/>
      <c r="AP1" s="8"/>
      <c r="AQ1" s="8"/>
      <c r="AR1" s="9"/>
      <c r="AS1" s="25"/>
      <c r="AT1" s="2"/>
      <c r="DS1"/>
      <c r="DT1"/>
      <c r="DU1"/>
    </row>
    <row r="2" spans="1:125" ht="13.5" customHeight="1" thickBot="1" x14ac:dyDescent="0.2">
      <c r="A2" s="637" t="str">
        <f>"WATER BOILING TEST - VERSION "&amp;version&amp;" - TEST #7"</f>
        <v>WATER BOILING TEST - VERSION 4.2.3 - TEST #7</v>
      </c>
      <c r="B2" s="637"/>
      <c r="C2" s="637"/>
      <c r="D2" s="637"/>
      <c r="E2" s="637"/>
      <c r="F2" s="637"/>
      <c r="G2" s="637"/>
      <c r="H2" s="637"/>
      <c r="I2" s="637"/>
      <c r="J2" s="637"/>
      <c r="K2" s="637"/>
      <c r="L2" s="637"/>
      <c r="M2" s="637"/>
      <c r="N2" s="637"/>
      <c r="O2" s="637"/>
      <c r="P2" s="637"/>
      <c r="Q2" s="637"/>
      <c r="R2" s="637"/>
      <c r="S2" s="637"/>
      <c r="T2" s="10"/>
      <c r="U2" s="255" t="str">
        <f>"TEST #7 "&amp;D7</f>
        <v xml:space="preserve">TEST #7 </v>
      </c>
      <c r="V2" s="11"/>
      <c r="W2" s="638" t="s">
        <v>0</v>
      </c>
      <c r="X2" s="638"/>
      <c r="Y2" s="638"/>
      <c r="Z2" s="638"/>
      <c r="AA2" s="638"/>
      <c r="AB2" s="638"/>
      <c r="AC2" s="256"/>
      <c r="AD2" s="12"/>
      <c r="AE2" s="638" t="s">
        <v>1</v>
      </c>
      <c r="AF2" s="638"/>
      <c r="AG2" s="638"/>
      <c r="AH2" s="638"/>
      <c r="AI2" s="638"/>
      <c r="AJ2" s="638"/>
      <c r="AK2" s="13"/>
      <c r="AL2" s="638" t="s">
        <v>2</v>
      </c>
      <c r="AM2" s="638"/>
      <c r="AN2" s="638"/>
      <c r="AO2" s="638"/>
      <c r="AP2" s="638"/>
      <c r="AQ2" s="638"/>
      <c r="AR2" s="14"/>
    </row>
    <row r="3" spans="1:125" ht="12.75" customHeight="1" x14ac:dyDescent="0.15">
      <c r="A3" s="16"/>
      <c r="B3" s="17" t="s">
        <v>748</v>
      </c>
      <c r="C3" s="17"/>
      <c r="D3" s="17"/>
      <c r="E3" s="17"/>
      <c r="F3" s="17"/>
      <c r="G3" s="17"/>
      <c r="H3" s="17"/>
      <c r="I3" s="17"/>
      <c r="J3" s="17"/>
      <c r="K3" s="17"/>
      <c r="L3" s="17"/>
      <c r="M3" s="17"/>
      <c r="N3" s="17"/>
      <c r="O3" s="17"/>
      <c r="P3" s="17"/>
      <c r="Q3" s="17"/>
      <c r="R3" s="17"/>
      <c r="S3" s="18"/>
      <c r="T3" s="19"/>
      <c r="U3" s="20"/>
      <c r="V3" s="21"/>
      <c r="W3" s="641" t="s">
        <v>3</v>
      </c>
      <c r="X3" s="641"/>
      <c r="Y3" s="23"/>
      <c r="Z3" s="13"/>
      <c r="AA3" s="642" t="s">
        <v>4</v>
      </c>
      <c r="AB3" s="642"/>
      <c r="AC3" s="24"/>
      <c r="AD3" s="12"/>
      <c r="AE3" s="643" t="s">
        <v>3</v>
      </c>
      <c r="AF3" s="643"/>
      <c r="AG3" s="23"/>
      <c r="AH3" s="13"/>
      <c r="AI3" s="642" t="s">
        <v>4</v>
      </c>
      <c r="AJ3" s="642"/>
      <c r="AK3" s="12"/>
      <c r="AL3" s="639" t="s">
        <v>3</v>
      </c>
      <c r="AM3" s="639"/>
      <c r="AN3" s="23"/>
      <c r="AO3" s="13"/>
      <c r="AP3" s="640" t="s">
        <v>5</v>
      </c>
      <c r="AQ3" s="640"/>
      <c r="AR3" s="14"/>
    </row>
    <row r="4" spans="1:125" ht="12.75" customHeight="1" x14ac:dyDescent="0.15">
      <c r="A4" s="25"/>
      <c r="B4" s="26" t="s">
        <v>749</v>
      </c>
      <c r="C4" s="26"/>
      <c r="D4" s="26"/>
      <c r="E4" s="26"/>
      <c r="F4" s="26"/>
      <c r="G4" s="26"/>
      <c r="H4" s="26"/>
      <c r="I4" s="26"/>
      <c r="J4" s="27"/>
      <c r="K4" s="27"/>
      <c r="L4" s="27"/>
      <c r="M4" s="27"/>
      <c r="N4" s="27"/>
      <c r="O4" s="27"/>
      <c r="P4" s="27"/>
      <c r="Q4" s="27"/>
      <c r="R4" s="27"/>
      <c r="S4" s="15"/>
      <c r="T4" s="28"/>
      <c r="U4" s="29"/>
      <c r="V4" s="30"/>
      <c r="W4" s="31"/>
      <c r="X4" s="31"/>
      <c r="Y4" s="32"/>
      <c r="Z4" s="33"/>
      <c r="AA4" s="631" t="s">
        <v>6</v>
      </c>
      <c r="AB4" s="631"/>
      <c r="AC4" s="24"/>
      <c r="AD4" s="12"/>
      <c r="AE4" s="31"/>
      <c r="AF4" s="31"/>
      <c r="AG4" s="32"/>
      <c r="AH4" s="33"/>
      <c r="AI4" s="631" t="s">
        <v>6</v>
      </c>
      <c r="AJ4" s="631"/>
      <c r="AK4" s="12"/>
      <c r="AL4" s="633"/>
      <c r="AM4" s="633"/>
      <c r="AN4" s="34"/>
      <c r="AO4" s="31"/>
      <c r="AP4" s="644"/>
      <c r="AQ4" s="644"/>
      <c r="AR4" s="14"/>
    </row>
    <row r="5" spans="1:125" ht="13.5" customHeight="1" thickBot="1" x14ac:dyDescent="0.2">
      <c r="A5" s="25"/>
      <c r="B5" s="35" t="s">
        <v>7</v>
      </c>
      <c r="D5" s="2"/>
      <c r="E5" s="2"/>
      <c r="F5" s="2"/>
      <c r="G5" s="2"/>
      <c r="S5" s="15"/>
      <c r="T5" s="28"/>
      <c r="U5" s="36" t="s">
        <v>8</v>
      </c>
      <c r="V5" s="37" t="s">
        <v>9</v>
      </c>
      <c r="W5" s="38" t="s">
        <v>10</v>
      </c>
      <c r="X5" s="38" t="s">
        <v>11</v>
      </c>
      <c r="Y5" s="39"/>
      <c r="Z5" s="38"/>
      <c r="AA5" s="38" t="s">
        <v>10</v>
      </c>
      <c r="AB5" s="37" t="s">
        <v>11</v>
      </c>
      <c r="AC5" s="24"/>
      <c r="AD5" s="12"/>
      <c r="AE5" s="38" t="s">
        <v>10</v>
      </c>
      <c r="AF5" s="38" t="s">
        <v>11</v>
      </c>
      <c r="AG5" s="40"/>
      <c r="AH5" s="41"/>
      <c r="AI5" s="38" t="s">
        <v>10</v>
      </c>
      <c r="AJ5" s="37" t="s">
        <v>11</v>
      </c>
      <c r="AK5" s="12"/>
      <c r="AL5" s="38" t="s">
        <v>10</v>
      </c>
      <c r="AM5" s="38" t="s">
        <v>11</v>
      </c>
      <c r="AN5" s="40"/>
      <c r="AO5" s="41"/>
      <c r="AP5" s="38" t="s">
        <v>10</v>
      </c>
      <c r="AQ5" s="37" t="s">
        <v>11</v>
      </c>
      <c r="AR5" s="14"/>
    </row>
    <row r="6" spans="1:125" ht="15.75" customHeight="1" x14ac:dyDescent="0.2">
      <c r="A6" s="25"/>
      <c r="B6" s="2" t="s">
        <v>12</v>
      </c>
      <c r="D6" s="629"/>
      <c r="E6" s="629"/>
      <c r="F6" s="629"/>
      <c r="G6" s="629"/>
      <c r="H6" s="629"/>
      <c r="I6" s="629"/>
      <c r="J6" s="629"/>
      <c r="K6" s="629"/>
      <c r="M6" s="635" t="s">
        <v>834</v>
      </c>
      <c r="N6" s="635"/>
      <c r="O6" s="635"/>
      <c r="P6" s="635"/>
      <c r="Q6" s="265"/>
      <c r="R6" s="265"/>
      <c r="S6" s="15"/>
      <c r="T6" s="28"/>
      <c r="U6" s="30" t="s">
        <v>716</v>
      </c>
      <c r="V6" s="24" t="s">
        <v>13</v>
      </c>
      <c r="W6" s="42"/>
      <c r="X6" s="43" t="s">
        <v>14</v>
      </c>
      <c r="Y6" s="44"/>
      <c r="Z6" s="43"/>
      <c r="AA6" s="42"/>
      <c r="AB6" s="45" t="s">
        <v>15</v>
      </c>
      <c r="AC6" s="45"/>
      <c r="AD6" s="12"/>
      <c r="AE6" s="42"/>
      <c r="AF6" s="43" t="s">
        <v>16</v>
      </c>
      <c r="AG6" s="46"/>
      <c r="AH6" s="13"/>
      <c r="AI6" s="42"/>
      <c r="AJ6" s="45" t="s">
        <v>17</v>
      </c>
      <c r="AK6" s="12"/>
      <c r="AL6" s="42"/>
      <c r="AM6" s="43" t="s">
        <v>18</v>
      </c>
      <c r="AN6" s="46"/>
      <c r="AO6" s="13"/>
      <c r="AP6" s="42"/>
      <c r="AQ6" s="45" t="s">
        <v>19</v>
      </c>
      <c r="AR6" s="14"/>
    </row>
    <row r="7" spans="1:125" ht="15.75" customHeight="1" x14ac:dyDescent="0.2">
      <c r="A7" s="25"/>
      <c r="B7" s="2" t="s">
        <v>27</v>
      </c>
      <c r="D7" s="629"/>
      <c r="E7" s="629"/>
      <c r="F7" s="629"/>
      <c r="G7" s="629"/>
      <c r="H7" s="629"/>
      <c r="I7" s="629"/>
      <c r="J7" s="629"/>
      <c r="K7" s="629"/>
      <c r="M7" s="663" t="s">
        <v>969</v>
      </c>
      <c r="N7" s="663"/>
      <c r="O7" s="663"/>
      <c r="P7" s="663"/>
      <c r="Q7" s="265"/>
      <c r="R7" s="265"/>
      <c r="S7" s="15"/>
      <c r="T7" s="28"/>
      <c r="U7" s="30" t="s">
        <v>873</v>
      </c>
      <c r="V7" s="24" t="s">
        <v>20</v>
      </c>
      <c r="W7" s="47"/>
      <c r="X7" s="43" t="s">
        <v>21</v>
      </c>
      <c r="Y7" s="44"/>
      <c r="Z7" s="43"/>
      <c r="AA7" s="47"/>
      <c r="AB7" s="45" t="s">
        <v>22</v>
      </c>
      <c r="AC7" s="45"/>
      <c r="AD7" s="12"/>
      <c r="AE7" s="47"/>
      <c r="AF7" s="43" t="s">
        <v>23</v>
      </c>
      <c r="AG7" s="46"/>
      <c r="AH7" s="13"/>
      <c r="AI7" s="47"/>
      <c r="AJ7" s="45" t="s">
        <v>24</v>
      </c>
      <c r="AK7" s="12"/>
      <c r="AL7" s="47"/>
      <c r="AM7" s="43" t="s">
        <v>25</v>
      </c>
      <c r="AN7" s="46"/>
      <c r="AO7" s="13"/>
      <c r="AP7" s="47"/>
      <c r="AQ7" s="45" t="s">
        <v>26</v>
      </c>
      <c r="AR7" s="14"/>
    </row>
    <row r="8" spans="1:125" ht="15.75" customHeight="1" x14ac:dyDescent="0.2">
      <c r="A8" s="25"/>
      <c r="B8" s="2" t="s">
        <v>36</v>
      </c>
      <c r="D8" s="628"/>
      <c r="E8" s="629"/>
      <c r="F8" s="629"/>
      <c r="G8" s="629"/>
      <c r="H8" s="629"/>
      <c r="I8" s="629"/>
      <c r="J8" s="629"/>
      <c r="K8" s="629"/>
      <c r="M8" s="656" t="s">
        <v>953</v>
      </c>
      <c r="N8" s="656"/>
      <c r="O8" s="656"/>
      <c r="P8" s="656"/>
      <c r="Q8" s="265"/>
      <c r="R8" s="265"/>
      <c r="S8" s="15"/>
      <c r="T8" s="28"/>
      <c r="U8" s="30" t="s">
        <v>28</v>
      </c>
      <c r="V8" s="24" t="s">
        <v>29</v>
      </c>
      <c r="W8" s="48"/>
      <c r="X8" s="49" t="s">
        <v>30</v>
      </c>
      <c r="Y8" s="50"/>
      <c r="Z8" s="49"/>
      <c r="AA8" s="48"/>
      <c r="AB8" s="51" t="s">
        <v>31</v>
      </c>
      <c r="AC8" s="51"/>
      <c r="AD8" s="52"/>
      <c r="AE8" s="48"/>
      <c r="AF8" s="49" t="s">
        <v>32</v>
      </c>
      <c r="AG8" s="53"/>
      <c r="AH8" s="54"/>
      <c r="AI8" s="48"/>
      <c r="AJ8" s="45" t="s">
        <v>33</v>
      </c>
      <c r="AK8" s="12"/>
      <c r="AL8" s="48"/>
      <c r="AM8" s="43" t="s">
        <v>34</v>
      </c>
      <c r="AN8" s="46"/>
      <c r="AO8" s="13"/>
      <c r="AP8" s="48"/>
      <c r="AQ8" s="45" t="s">
        <v>35</v>
      </c>
      <c r="AR8" s="14"/>
    </row>
    <row r="9" spans="1:125" ht="15.75" customHeight="1" x14ac:dyDescent="0.2">
      <c r="A9" s="25"/>
      <c r="B9" s="2" t="s">
        <v>50</v>
      </c>
      <c r="D9" s="630">
        <f>'General Information'!C7</f>
        <v>0</v>
      </c>
      <c r="E9" s="630"/>
      <c r="F9" s="630"/>
      <c r="G9" s="630"/>
      <c r="H9" s="630"/>
      <c r="I9" s="630"/>
      <c r="J9" s="630"/>
      <c r="K9" s="630"/>
      <c r="M9" s="265"/>
      <c r="N9" s="265"/>
      <c r="O9" s="265"/>
      <c r="P9" s="265"/>
      <c r="Q9" s="265"/>
      <c r="R9" s="265"/>
      <c r="S9" s="15"/>
      <c r="T9" s="28"/>
      <c r="U9" s="55" t="s">
        <v>37</v>
      </c>
      <c r="V9" s="24" t="s">
        <v>29</v>
      </c>
      <c r="W9" s="48"/>
      <c r="X9" s="49" t="s">
        <v>185</v>
      </c>
      <c r="Y9" s="50"/>
      <c r="Z9" s="49"/>
      <c r="AA9" s="48"/>
      <c r="AB9" s="51" t="s">
        <v>38</v>
      </c>
      <c r="AC9" s="51"/>
      <c r="AD9" s="52"/>
      <c r="AE9" s="48"/>
      <c r="AF9" s="49" t="s">
        <v>39</v>
      </c>
      <c r="AG9" s="53"/>
      <c r="AH9" s="54"/>
      <c r="AI9" s="48"/>
      <c r="AJ9" s="45" t="s">
        <v>40</v>
      </c>
      <c r="AK9" s="12"/>
      <c r="AL9" s="48"/>
      <c r="AM9" s="56" t="s">
        <v>41</v>
      </c>
      <c r="AN9" s="57"/>
      <c r="AO9" s="58"/>
      <c r="AP9" s="48"/>
      <c r="AQ9" s="59" t="s">
        <v>42</v>
      </c>
      <c r="AR9" s="14"/>
    </row>
    <row r="10" spans="1:125" ht="15.75" customHeight="1" x14ac:dyDescent="0.2">
      <c r="A10" s="25"/>
      <c r="B10" s="2" t="s">
        <v>43</v>
      </c>
      <c r="D10" s="632">
        <f>'General Information'!C10</f>
        <v>0</v>
      </c>
      <c r="E10" s="632"/>
      <c r="F10" s="632"/>
      <c r="G10" s="632"/>
      <c r="H10" s="632"/>
      <c r="I10" s="632"/>
      <c r="J10" s="632"/>
      <c r="K10" s="632"/>
      <c r="S10" s="15"/>
      <c r="T10" s="28"/>
      <c r="U10" s="55" t="s">
        <v>44</v>
      </c>
      <c r="V10" s="24" t="s">
        <v>29</v>
      </c>
      <c r="W10" s="48"/>
      <c r="X10" s="49" t="s">
        <v>186</v>
      </c>
      <c r="Y10" s="50"/>
      <c r="Z10" s="49"/>
      <c r="AA10" s="48"/>
      <c r="AB10" s="51" t="s">
        <v>45</v>
      </c>
      <c r="AC10" s="51"/>
      <c r="AD10" s="52"/>
      <c r="AE10" s="48"/>
      <c r="AF10" s="49" t="s">
        <v>46</v>
      </c>
      <c r="AG10" s="53"/>
      <c r="AH10" s="54"/>
      <c r="AI10" s="48"/>
      <c r="AJ10" s="45" t="s">
        <v>47</v>
      </c>
      <c r="AK10" s="12"/>
      <c r="AL10" s="48"/>
      <c r="AM10" s="56" t="s">
        <v>48</v>
      </c>
      <c r="AN10" s="57"/>
      <c r="AO10" s="58"/>
      <c r="AP10" s="48"/>
      <c r="AQ10" s="59" t="s">
        <v>49</v>
      </c>
      <c r="AR10" s="14"/>
    </row>
    <row r="11" spans="1:125" ht="15.75" customHeight="1" x14ac:dyDescent="0.2">
      <c r="A11" s="25"/>
      <c r="B11" s="2" t="s">
        <v>58</v>
      </c>
      <c r="D11" s="645">
        <f>'General Information'!J3</f>
        <v>0</v>
      </c>
      <c r="E11" s="645"/>
      <c r="F11" s="645"/>
      <c r="G11" s="645"/>
      <c r="H11" s="645"/>
      <c r="I11" s="645"/>
      <c r="J11" s="645"/>
      <c r="K11" s="645"/>
      <c r="S11" s="15"/>
      <c r="T11" s="28"/>
      <c r="U11" s="55" t="s">
        <v>51</v>
      </c>
      <c r="V11" s="24" t="s">
        <v>29</v>
      </c>
      <c r="W11" s="48"/>
      <c r="X11" s="49" t="s">
        <v>52</v>
      </c>
      <c r="Y11" s="50"/>
      <c r="Z11" s="49"/>
      <c r="AA11" s="48"/>
      <c r="AB11" s="51" t="s">
        <v>53</v>
      </c>
      <c r="AC11" s="51"/>
      <c r="AD11" s="52"/>
      <c r="AE11" s="48"/>
      <c r="AF11" s="49" t="s">
        <v>54</v>
      </c>
      <c r="AG11" s="53"/>
      <c r="AH11" s="54"/>
      <c r="AI11" s="48"/>
      <c r="AJ11" s="45" t="s">
        <v>55</v>
      </c>
      <c r="AK11" s="12"/>
      <c r="AL11" s="48"/>
      <c r="AM11" s="56" t="s">
        <v>56</v>
      </c>
      <c r="AN11" s="57"/>
      <c r="AO11" s="58"/>
      <c r="AP11" s="48"/>
      <c r="AQ11" s="59" t="s">
        <v>57</v>
      </c>
      <c r="AR11" s="14"/>
    </row>
    <row r="12" spans="1:125" ht="15.75" customHeight="1" x14ac:dyDescent="0.2">
      <c r="A12" s="25"/>
      <c r="B12" s="2"/>
      <c r="D12" s="60"/>
      <c r="E12" s="60"/>
      <c r="F12" s="60"/>
      <c r="G12" s="60"/>
      <c r="H12" s="60"/>
      <c r="I12" s="60"/>
      <c r="J12" s="60"/>
      <c r="S12" s="15"/>
      <c r="T12" s="28"/>
      <c r="U12" s="30" t="s">
        <v>59</v>
      </c>
      <c r="V12" s="24" t="s">
        <v>20</v>
      </c>
      <c r="W12" s="47"/>
      <c r="X12" s="43" t="s">
        <v>60</v>
      </c>
      <c r="Y12" s="44"/>
      <c r="Z12" s="43"/>
      <c r="AA12" s="47"/>
      <c r="AB12" s="45" t="s">
        <v>61</v>
      </c>
      <c r="AC12" s="45"/>
      <c r="AD12" s="12"/>
      <c r="AE12" s="47"/>
      <c r="AF12" s="43" t="s">
        <v>62</v>
      </c>
      <c r="AG12" s="46"/>
      <c r="AH12" s="13"/>
      <c r="AI12" s="47"/>
      <c r="AJ12" s="45" t="s">
        <v>63</v>
      </c>
      <c r="AK12" s="12"/>
      <c r="AL12" s="47"/>
      <c r="AM12" s="56" t="s">
        <v>64</v>
      </c>
      <c r="AN12" s="57"/>
      <c r="AO12" s="61"/>
      <c r="AP12" s="47"/>
      <c r="AQ12" s="59" t="s">
        <v>65</v>
      </c>
      <c r="AR12" s="14"/>
    </row>
    <row r="13" spans="1:125" ht="15.75" customHeight="1" thickBot="1" x14ac:dyDescent="0.25">
      <c r="A13" s="25"/>
      <c r="B13" s="62" t="s">
        <v>80</v>
      </c>
      <c r="C13" s="63"/>
      <c r="D13" s="64"/>
      <c r="E13" s="65"/>
      <c r="F13" s="64"/>
      <c r="G13" s="64"/>
      <c r="H13" s="64"/>
      <c r="I13" s="64"/>
      <c r="J13" s="64"/>
      <c r="K13" s="66"/>
      <c r="L13" s="66"/>
      <c r="M13" s="66"/>
      <c r="N13" s="66"/>
      <c r="O13" s="66"/>
      <c r="P13" s="66"/>
      <c r="Q13" s="66"/>
      <c r="R13" s="66"/>
      <c r="S13" s="15"/>
      <c r="T13" s="28"/>
      <c r="U13" s="55" t="s">
        <v>66</v>
      </c>
      <c r="V13" s="24" t="s">
        <v>20</v>
      </c>
      <c r="W13" s="47"/>
      <c r="X13" s="43" t="s">
        <v>67</v>
      </c>
      <c r="Y13" s="44"/>
      <c r="Z13" s="43"/>
      <c r="AA13" s="47"/>
      <c r="AB13" s="45" t="s">
        <v>68</v>
      </c>
      <c r="AC13" s="45"/>
      <c r="AD13" s="12"/>
      <c r="AE13" s="47"/>
      <c r="AF13" s="43" t="s">
        <v>69</v>
      </c>
      <c r="AG13" s="46"/>
      <c r="AH13" s="13"/>
      <c r="AI13" s="47"/>
      <c r="AJ13" s="45" t="s">
        <v>70</v>
      </c>
      <c r="AK13" s="12"/>
      <c r="AL13" s="47"/>
      <c r="AM13" s="56" t="s">
        <v>71</v>
      </c>
      <c r="AN13" s="57"/>
      <c r="AO13" s="58"/>
      <c r="AP13" s="47"/>
      <c r="AQ13" s="59" t="s">
        <v>72</v>
      </c>
      <c r="AR13" s="14"/>
    </row>
    <row r="14" spans="1:125" ht="15.75" customHeight="1" x14ac:dyDescent="0.2">
      <c r="A14" s="25"/>
      <c r="B14" s="624" t="s">
        <v>88</v>
      </c>
      <c r="C14" s="624"/>
      <c r="D14" s="624"/>
      <c r="E14" s="67" t="s">
        <v>89</v>
      </c>
      <c r="F14" s="67"/>
      <c r="G14" s="67" t="s">
        <v>90</v>
      </c>
      <c r="H14" s="68"/>
      <c r="I14" s="69" t="s">
        <v>11</v>
      </c>
      <c r="J14" s="68"/>
      <c r="K14" s="68" t="s">
        <v>88</v>
      </c>
      <c r="L14" s="68"/>
      <c r="M14" s="68"/>
      <c r="N14" s="67" t="s">
        <v>89</v>
      </c>
      <c r="O14" s="67"/>
      <c r="P14" s="68" t="s">
        <v>90</v>
      </c>
      <c r="Q14" s="68"/>
      <c r="R14" s="69" t="s">
        <v>11</v>
      </c>
      <c r="S14" s="15"/>
      <c r="T14" s="28"/>
      <c r="U14" s="55" t="s">
        <v>73</v>
      </c>
      <c r="V14" s="24" t="s">
        <v>20</v>
      </c>
      <c r="W14" s="47"/>
      <c r="X14" s="43" t="s">
        <v>74</v>
      </c>
      <c r="Y14" s="44"/>
      <c r="Z14" s="43"/>
      <c r="AA14" s="47"/>
      <c r="AB14" s="45" t="s">
        <v>75</v>
      </c>
      <c r="AC14" s="45"/>
      <c r="AD14" s="12"/>
      <c r="AE14" s="47"/>
      <c r="AF14" s="43" t="s">
        <v>76</v>
      </c>
      <c r="AG14" s="46"/>
      <c r="AH14" s="13"/>
      <c r="AI14" s="47"/>
      <c r="AJ14" s="45" t="s">
        <v>77</v>
      </c>
      <c r="AK14" s="12"/>
      <c r="AL14" s="47"/>
      <c r="AM14" s="56" t="s">
        <v>78</v>
      </c>
      <c r="AN14" s="57"/>
      <c r="AO14" s="58"/>
      <c r="AP14" s="47"/>
      <c r="AQ14" s="59" t="s">
        <v>79</v>
      </c>
      <c r="AR14" s="14"/>
    </row>
    <row r="15" spans="1:125" ht="15.75" customHeight="1" x14ac:dyDescent="0.2">
      <c r="A15" s="25"/>
      <c r="B15" s="623" t="s">
        <v>702</v>
      </c>
      <c r="C15" s="623"/>
      <c r="D15" s="623"/>
      <c r="E15" s="73"/>
      <c r="F15" s="74"/>
      <c r="G15" s="2" t="s">
        <v>29</v>
      </c>
      <c r="J15" s="75"/>
      <c r="K15" s="623" t="s">
        <v>93</v>
      </c>
      <c r="L15" s="623"/>
      <c r="M15" s="623"/>
      <c r="N15" s="196"/>
      <c r="O15" s="74"/>
      <c r="P15" s="22" t="s">
        <v>20</v>
      </c>
      <c r="R15" s="43" t="s">
        <v>94</v>
      </c>
      <c r="S15" s="15"/>
      <c r="T15" s="28"/>
      <c r="U15" s="55" t="s">
        <v>81</v>
      </c>
      <c r="V15" s="24" t="s">
        <v>20</v>
      </c>
      <c r="W15" s="47"/>
      <c r="X15" s="43" t="s">
        <v>82</v>
      </c>
      <c r="Y15" s="44"/>
      <c r="Z15" s="43"/>
      <c r="AA15" s="47"/>
      <c r="AB15" s="45" t="s">
        <v>83</v>
      </c>
      <c r="AC15" s="45"/>
      <c r="AD15" s="12"/>
      <c r="AE15" s="47"/>
      <c r="AF15" s="43" t="s">
        <v>84</v>
      </c>
      <c r="AG15" s="46"/>
      <c r="AH15" s="13"/>
      <c r="AI15" s="47"/>
      <c r="AJ15" s="45" t="s">
        <v>85</v>
      </c>
      <c r="AK15" s="12"/>
      <c r="AL15" s="47"/>
      <c r="AM15" s="56" t="s">
        <v>86</v>
      </c>
      <c r="AN15" s="57"/>
      <c r="AO15" s="58"/>
      <c r="AP15" s="47"/>
      <c r="AQ15" s="59" t="s">
        <v>87</v>
      </c>
      <c r="AR15" s="14"/>
    </row>
    <row r="16" spans="1:125" ht="15.75" customHeight="1" x14ac:dyDescent="0.15">
      <c r="A16" s="25"/>
      <c r="B16" s="623" t="s">
        <v>722</v>
      </c>
      <c r="C16" s="623"/>
      <c r="D16" s="623"/>
      <c r="E16" s="74">
        <v>1</v>
      </c>
      <c r="F16" s="74"/>
      <c r="G16" s="2"/>
      <c r="J16" s="75"/>
      <c r="K16" s="623" t="s">
        <v>99</v>
      </c>
      <c r="L16" s="623"/>
      <c r="M16" s="623"/>
      <c r="N16" s="196"/>
      <c r="O16" s="74"/>
      <c r="P16" s="22" t="s">
        <v>20</v>
      </c>
      <c r="R16" s="43" t="s">
        <v>100</v>
      </c>
      <c r="S16" s="15"/>
      <c r="T16" s="28"/>
      <c r="U16" s="55" t="s">
        <v>91</v>
      </c>
      <c r="V16" s="24" t="s">
        <v>92</v>
      </c>
      <c r="W16" s="626"/>
      <c r="X16" s="626"/>
      <c r="Y16" s="70"/>
      <c r="Z16" s="71"/>
      <c r="AA16" s="72"/>
      <c r="AB16" s="45"/>
      <c r="AC16" s="45"/>
      <c r="AD16" s="12"/>
      <c r="AE16" s="626"/>
      <c r="AF16" s="626"/>
      <c r="AG16" s="46"/>
      <c r="AH16" s="13"/>
      <c r="AI16" s="72"/>
      <c r="AJ16" s="21"/>
      <c r="AK16" s="12"/>
      <c r="AL16" s="626"/>
      <c r="AM16" s="626"/>
      <c r="AN16" s="46"/>
      <c r="AO16" s="13"/>
      <c r="AP16" s="13"/>
      <c r="AQ16" s="21"/>
      <c r="AR16" s="14"/>
    </row>
    <row r="17" spans="1:44" ht="15.75" customHeight="1" x14ac:dyDescent="0.2">
      <c r="A17" s="25"/>
      <c r="B17" s="1" t="s">
        <v>772</v>
      </c>
      <c r="E17" s="625"/>
      <c r="F17" s="625"/>
      <c r="G17" s="625"/>
      <c r="J17" s="75"/>
      <c r="K17" s="623" t="s">
        <v>104</v>
      </c>
      <c r="L17" s="623"/>
      <c r="M17" s="623"/>
      <c r="N17" s="196"/>
      <c r="O17" s="74"/>
      <c r="P17" s="22" t="s">
        <v>20</v>
      </c>
      <c r="R17" s="43" t="s">
        <v>105</v>
      </c>
      <c r="S17" s="15"/>
      <c r="T17" s="28"/>
      <c r="U17" s="30" t="s">
        <v>95</v>
      </c>
      <c r="V17" s="24" t="s">
        <v>20</v>
      </c>
      <c r="W17" s="76"/>
      <c r="X17" s="2"/>
      <c r="Y17" s="77"/>
      <c r="Z17" s="2"/>
      <c r="AA17" s="47"/>
      <c r="AB17" s="45" t="s">
        <v>96</v>
      </c>
      <c r="AC17" s="45"/>
      <c r="AD17" s="12"/>
      <c r="AE17" s="76"/>
      <c r="AF17" s="43"/>
      <c r="AG17" s="46"/>
      <c r="AH17" s="13"/>
      <c r="AI17" s="78">
        <f>AA17</f>
        <v>0</v>
      </c>
      <c r="AJ17" s="45" t="s">
        <v>97</v>
      </c>
      <c r="AK17" s="12"/>
      <c r="AL17" s="2"/>
      <c r="AM17" s="43"/>
      <c r="AN17" s="46"/>
      <c r="AO17" s="13"/>
      <c r="AP17" s="47"/>
      <c r="AQ17" s="45" t="s">
        <v>98</v>
      </c>
      <c r="AR17" s="14"/>
    </row>
    <row r="18" spans="1:44" ht="15" customHeight="1" x14ac:dyDescent="0.2">
      <c r="A18" s="25"/>
      <c r="B18" s="623" t="s">
        <v>815</v>
      </c>
      <c r="C18" s="623"/>
      <c r="D18" s="623"/>
      <c r="E18" s="241"/>
      <c r="F18" s="87"/>
      <c r="G18" s="2" t="s">
        <v>113</v>
      </c>
      <c r="I18" s="22" t="s">
        <v>929</v>
      </c>
      <c r="J18" s="75"/>
      <c r="K18" s="623" t="s">
        <v>108</v>
      </c>
      <c r="L18" s="623"/>
      <c r="M18" s="623"/>
      <c r="N18" s="196"/>
      <c r="O18" s="74"/>
      <c r="P18" s="22" t="s">
        <v>20</v>
      </c>
      <c r="R18" s="43" t="s">
        <v>109</v>
      </c>
      <c r="S18" s="15"/>
      <c r="T18" s="28"/>
      <c r="U18" s="30" t="s">
        <v>791</v>
      </c>
      <c r="V18" s="24" t="s">
        <v>781</v>
      </c>
      <c r="W18" s="76"/>
      <c r="X18" s="2"/>
      <c r="Y18" s="77"/>
      <c r="Z18" s="2"/>
      <c r="AA18" s="398"/>
      <c r="AB18" s="45" t="s">
        <v>793</v>
      </c>
      <c r="AC18" s="45"/>
      <c r="AD18" s="12"/>
      <c r="AE18" s="76"/>
      <c r="AF18" s="43"/>
      <c r="AG18" s="46"/>
      <c r="AH18" s="13"/>
      <c r="AI18" s="398"/>
      <c r="AJ18" s="45" t="s">
        <v>796</v>
      </c>
      <c r="AK18" s="12"/>
      <c r="AL18" s="2"/>
      <c r="AM18" s="43"/>
      <c r="AN18" s="46"/>
      <c r="AO18" s="13"/>
      <c r="AP18" s="398"/>
      <c r="AQ18" s="45" t="s">
        <v>799</v>
      </c>
      <c r="AR18" s="14"/>
    </row>
    <row r="19" spans="1:44" ht="15" customHeight="1" x14ac:dyDescent="0.2">
      <c r="A19" s="25"/>
      <c r="B19" s="623" t="s">
        <v>101</v>
      </c>
      <c r="C19" s="623"/>
      <c r="D19" s="623"/>
      <c r="E19" s="83">
        <f>'General Information'!L21</f>
        <v>0</v>
      </c>
      <c r="F19" s="84"/>
      <c r="G19" s="2" t="s">
        <v>102</v>
      </c>
      <c r="I19" s="22" t="s">
        <v>103</v>
      </c>
      <c r="J19" s="75"/>
      <c r="K19" s="623" t="s">
        <v>114</v>
      </c>
      <c r="L19" s="623"/>
      <c r="M19" s="623"/>
      <c r="N19" s="196"/>
      <c r="O19" s="74"/>
      <c r="P19" s="22" t="s">
        <v>20</v>
      </c>
      <c r="R19" s="43" t="s">
        <v>115</v>
      </c>
      <c r="S19" s="15"/>
      <c r="T19" s="10"/>
      <c r="U19" s="251" t="s">
        <v>792</v>
      </c>
      <c r="V19" s="24" t="s">
        <v>781</v>
      </c>
      <c r="W19" s="76"/>
      <c r="X19" s="2"/>
      <c r="Y19" s="77"/>
      <c r="Z19" s="2">
        <v>10</v>
      </c>
      <c r="AA19" s="398"/>
      <c r="AB19" s="45" t="s">
        <v>794</v>
      </c>
      <c r="AC19" s="45"/>
      <c r="AD19" s="12"/>
      <c r="AE19" s="76"/>
      <c r="AF19" s="43"/>
      <c r="AG19" s="46"/>
      <c r="AH19" s="13"/>
      <c r="AI19" s="398"/>
      <c r="AJ19" s="45" t="s">
        <v>797</v>
      </c>
      <c r="AK19" s="12"/>
      <c r="AL19" s="2"/>
      <c r="AM19" s="43"/>
      <c r="AN19" s="46"/>
      <c r="AO19" s="13"/>
      <c r="AP19" s="398"/>
      <c r="AQ19" s="45" t="s">
        <v>800</v>
      </c>
      <c r="AR19" s="14"/>
    </row>
    <row r="20" spans="1:44" ht="15" customHeight="1" x14ac:dyDescent="0.2">
      <c r="A20" s="25"/>
      <c r="B20" s="623" t="s">
        <v>106</v>
      </c>
      <c r="C20" s="623"/>
      <c r="D20" s="623"/>
      <c r="E20" s="85">
        <f>'General Information'!L22</f>
        <v>0</v>
      </c>
      <c r="F20" s="84"/>
      <c r="G20" s="2" t="s">
        <v>102</v>
      </c>
      <c r="I20" s="22" t="s">
        <v>107</v>
      </c>
      <c r="J20" s="75"/>
      <c r="K20" s="623" t="s">
        <v>117</v>
      </c>
      <c r="L20" s="623"/>
      <c r="M20" s="623"/>
      <c r="N20" s="195">
        <f>'General Information'!C20</f>
        <v>0</v>
      </c>
      <c r="O20" s="74"/>
      <c r="P20" s="22" t="s">
        <v>29</v>
      </c>
      <c r="R20" s="43" t="s">
        <v>118</v>
      </c>
      <c r="S20" s="15"/>
      <c r="T20" s="10"/>
      <c r="U20" s="251" t="s">
        <v>789</v>
      </c>
      <c r="V20" s="24" t="s">
        <v>790</v>
      </c>
      <c r="W20" s="371"/>
      <c r="X20" s="372"/>
      <c r="Y20" s="374"/>
      <c r="Z20" s="372"/>
      <c r="AA20" s="399"/>
      <c r="AB20" s="45" t="s">
        <v>795</v>
      </c>
      <c r="AC20" s="45"/>
      <c r="AD20" s="82"/>
      <c r="AE20" s="371"/>
      <c r="AF20" s="372"/>
      <c r="AG20" s="383"/>
      <c r="AH20" s="369"/>
      <c r="AI20" s="399"/>
      <c r="AJ20" s="45" t="s">
        <v>798</v>
      </c>
      <c r="AK20" s="82"/>
      <c r="AL20" s="371"/>
      <c r="AM20" s="372"/>
      <c r="AN20" s="383"/>
      <c r="AO20" s="369"/>
      <c r="AP20" s="399"/>
      <c r="AQ20" s="45" t="s">
        <v>801</v>
      </c>
      <c r="AR20" s="14"/>
    </row>
    <row r="21" spans="1:44" ht="15" customHeight="1" x14ac:dyDescent="0.2">
      <c r="A21" s="25"/>
      <c r="B21" s="627" t="s">
        <v>783</v>
      </c>
      <c r="C21" s="627"/>
      <c r="D21" s="627"/>
      <c r="F21" s="87"/>
      <c r="I21" s="1"/>
      <c r="J21" s="75"/>
      <c r="K21" s="96" t="s">
        <v>780</v>
      </c>
      <c r="L21" s="43"/>
      <c r="M21" s="43"/>
      <c r="N21" s="454"/>
      <c r="O21" s="43"/>
      <c r="P21" s="43" t="s">
        <v>781</v>
      </c>
      <c r="Q21" s="43"/>
      <c r="R21" s="43" t="s">
        <v>786</v>
      </c>
      <c r="S21" s="15"/>
      <c r="T21" s="10"/>
      <c r="U21" s="436" t="s">
        <v>943</v>
      </c>
      <c r="V21" s="437" t="s">
        <v>29</v>
      </c>
      <c r="W21" s="373"/>
      <c r="X21" s="372"/>
      <c r="Y21" s="372"/>
      <c r="Z21" s="438"/>
      <c r="AA21" s="458"/>
      <c r="AB21" s="439" t="s">
        <v>944</v>
      </c>
      <c r="AC21" s="45"/>
      <c r="AD21" s="82"/>
      <c r="AE21" s="440"/>
      <c r="AF21" s="372"/>
      <c r="AG21" s="372"/>
      <c r="AH21" s="441"/>
      <c r="AI21" s="458"/>
      <c r="AJ21" s="439" t="s">
        <v>945</v>
      </c>
      <c r="AK21" s="369"/>
      <c r="AL21" s="440"/>
      <c r="AM21" s="372"/>
      <c r="AN21" s="374"/>
      <c r="AO21" s="372"/>
      <c r="AP21" s="458"/>
      <c r="AQ21" s="439" t="s">
        <v>946</v>
      </c>
      <c r="AR21" s="14"/>
    </row>
    <row r="22" spans="1:44" ht="15" customHeight="1" x14ac:dyDescent="0.15">
      <c r="A22" s="25"/>
      <c r="B22" s="250" t="s">
        <v>782</v>
      </c>
      <c r="C22" s="243"/>
      <c r="D22" s="243"/>
      <c r="E22" s="83">
        <f>E20*(1-E18)-(E18*((N20-E15)*4.2+2260))</f>
        <v>0</v>
      </c>
      <c r="F22" s="87"/>
      <c r="G22" s="2" t="s">
        <v>102</v>
      </c>
      <c r="I22" s="22" t="s">
        <v>928</v>
      </c>
      <c r="J22" s="75"/>
      <c r="K22" s="96"/>
      <c r="L22" s="43"/>
      <c r="M22" s="244" t="s">
        <v>784</v>
      </c>
      <c r="N22" s="454"/>
      <c r="O22" s="43"/>
      <c r="P22" s="43" t="s">
        <v>781</v>
      </c>
      <c r="Q22" s="43"/>
      <c r="R22" s="43" t="s">
        <v>787</v>
      </c>
      <c r="S22" s="15"/>
      <c r="T22" s="10"/>
      <c r="U22" s="251" t="s">
        <v>954</v>
      </c>
      <c r="V22" s="24" t="s">
        <v>20</v>
      </c>
      <c r="W22" s="76"/>
      <c r="X22" s="2"/>
      <c r="Y22" s="77"/>
      <c r="Z22" s="2"/>
      <c r="AA22" s="398"/>
      <c r="AB22" s="389" t="s">
        <v>914</v>
      </c>
      <c r="AC22" s="45"/>
      <c r="AD22" s="12"/>
      <c r="AE22" s="76"/>
      <c r="AF22" s="43"/>
      <c r="AG22" s="46"/>
      <c r="AH22" s="13"/>
      <c r="AI22" s="398"/>
      <c r="AJ22" s="451" t="s">
        <v>968</v>
      </c>
      <c r="AK22" s="21"/>
      <c r="AL22" s="2"/>
      <c r="AM22" s="43"/>
      <c r="AN22" s="46"/>
      <c r="AO22" s="13"/>
      <c r="AP22" s="398"/>
      <c r="AQ22" s="391" t="s">
        <v>916</v>
      </c>
      <c r="AR22" s="14"/>
    </row>
    <row r="23" spans="1:44" ht="15" customHeight="1" x14ac:dyDescent="0.15">
      <c r="A23" s="25"/>
      <c r="B23" s="622" t="s">
        <v>736</v>
      </c>
      <c r="C23" s="622"/>
      <c r="D23" s="622"/>
      <c r="E23" s="83">
        <f>'General Information'!L11</f>
        <v>0</v>
      </c>
      <c r="F23" s="2"/>
      <c r="G23" s="2" t="s">
        <v>102</v>
      </c>
      <c r="J23" s="75"/>
      <c r="K23" s="96"/>
      <c r="L23" s="43"/>
      <c r="M23" s="244" t="s">
        <v>785</v>
      </c>
      <c r="N23" s="454"/>
      <c r="O23" s="43"/>
      <c r="P23" s="43" t="s">
        <v>790</v>
      </c>
      <c r="Q23" s="43"/>
      <c r="R23" s="43" t="s">
        <v>788</v>
      </c>
      <c r="S23" s="15"/>
      <c r="T23" s="10"/>
      <c r="U23" s="251" t="s">
        <v>955</v>
      </c>
      <c r="V23" s="24" t="s">
        <v>20</v>
      </c>
      <c r="W23" s="76"/>
      <c r="X23" s="2"/>
      <c r="Y23" s="77"/>
      <c r="Z23" s="2">
        <v>10</v>
      </c>
      <c r="AA23" s="398"/>
      <c r="AB23" s="390" t="s">
        <v>911</v>
      </c>
      <c r="AC23" s="45"/>
      <c r="AD23" s="12"/>
      <c r="AE23" s="76"/>
      <c r="AF23" s="43"/>
      <c r="AG23" s="46"/>
      <c r="AH23" s="13"/>
      <c r="AI23" s="398"/>
      <c r="AJ23" s="358" t="s">
        <v>912</v>
      </c>
      <c r="AK23" s="12"/>
      <c r="AL23" s="2"/>
      <c r="AM23" s="43"/>
      <c r="AN23" s="46"/>
      <c r="AO23" s="13"/>
      <c r="AP23" s="398"/>
      <c r="AQ23" s="391" t="s">
        <v>913</v>
      </c>
      <c r="AR23" s="14"/>
    </row>
    <row r="24" spans="1:44" ht="15.75" customHeight="1" thickBot="1" x14ac:dyDescent="0.2">
      <c r="A24" s="25"/>
      <c r="D24" s="97"/>
      <c r="E24" s="98"/>
      <c r="F24" s="2"/>
      <c r="G24" s="2"/>
      <c r="K24" s="96"/>
      <c r="L24" s="43"/>
      <c r="M24" s="43"/>
      <c r="N24" s="43"/>
      <c r="O24" s="43"/>
      <c r="P24" s="43"/>
      <c r="Q24" s="43"/>
      <c r="R24" s="43"/>
      <c r="S24" s="15"/>
      <c r="T24" s="10"/>
      <c r="U24" s="442" t="s">
        <v>956</v>
      </c>
      <c r="V24" s="37" t="s">
        <v>20</v>
      </c>
      <c r="W24" s="79"/>
      <c r="X24" s="80"/>
      <c r="Y24" s="81"/>
      <c r="Z24" s="80"/>
      <c r="AA24" s="443"/>
      <c r="AB24" s="444" t="s">
        <v>908</v>
      </c>
      <c r="AC24" s="445"/>
      <c r="AD24" s="446"/>
      <c r="AE24" s="79"/>
      <c r="AF24" s="80"/>
      <c r="AG24" s="447"/>
      <c r="AH24" s="448"/>
      <c r="AI24" s="443"/>
      <c r="AJ24" s="449" t="s">
        <v>909</v>
      </c>
      <c r="AK24" s="446"/>
      <c r="AL24" s="79"/>
      <c r="AM24" s="80"/>
      <c r="AN24" s="447"/>
      <c r="AO24" s="448"/>
      <c r="AP24" s="443"/>
      <c r="AQ24" s="450" t="s">
        <v>910</v>
      </c>
      <c r="AR24" s="14"/>
    </row>
    <row r="25" spans="1:44" ht="15.75" customHeight="1" thickBot="1" x14ac:dyDescent="0.2">
      <c r="A25" s="25"/>
      <c r="B25" s="99" t="s">
        <v>737</v>
      </c>
      <c r="C25" s="100"/>
      <c r="D25" s="101"/>
      <c r="E25" s="646"/>
      <c r="F25" s="646"/>
      <c r="G25" s="646"/>
      <c r="H25" s="646"/>
      <c r="I25" s="646"/>
      <c r="J25" s="646"/>
      <c r="K25" s="646"/>
      <c r="L25" s="646"/>
      <c r="M25" s="646"/>
      <c r="N25" s="646"/>
      <c r="O25" s="646"/>
      <c r="P25" s="646"/>
      <c r="Q25" s="646"/>
      <c r="R25" s="647"/>
      <c r="S25" s="15"/>
      <c r="T25" s="10"/>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14"/>
    </row>
    <row r="26" spans="1:44" ht="15.75" customHeight="1" x14ac:dyDescent="0.15">
      <c r="A26" s="25"/>
      <c r="B26" s="616"/>
      <c r="C26" s="617"/>
      <c r="D26" s="617"/>
      <c r="E26" s="617"/>
      <c r="F26" s="617"/>
      <c r="G26" s="617"/>
      <c r="H26" s="617"/>
      <c r="I26" s="617"/>
      <c r="J26" s="617"/>
      <c r="K26" s="617"/>
      <c r="L26" s="617"/>
      <c r="M26" s="617"/>
      <c r="N26" s="617"/>
      <c r="O26" s="617"/>
      <c r="P26" s="617"/>
      <c r="Q26" s="617"/>
      <c r="R26" s="618"/>
      <c r="S26" s="15"/>
      <c r="T26" s="10"/>
      <c r="U26" s="377"/>
      <c r="V26" s="13"/>
      <c r="W26" s="86" t="s">
        <v>110</v>
      </c>
      <c r="X26" s="13"/>
      <c r="Y26" s="23"/>
      <c r="Z26" s="13"/>
      <c r="AA26" s="86" t="s">
        <v>111</v>
      </c>
      <c r="AB26" s="13"/>
      <c r="AC26" s="13"/>
      <c r="AD26" s="21"/>
      <c r="AE26" s="118" t="s">
        <v>964</v>
      </c>
      <c r="AF26" s="13"/>
      <c r="AG26" s="13"/>
      <c r="AH26" s="13"/>
      <c r="AI26" s="13"/>
      <c r="AJ26" s="13"/>
      <c r="AK26" s="13"/>
      <c r="AL26" s="13"/>
      <c r="AM26" s="13"/>
      <c r="AN26" s="13"/>
      <c r="AO26" s="13"/>
      <c r="AP26" s="13"/>
      <c r="AQ26" s="13"/>
      <c r="AR26" s="385"/>
    </row>
    <row r="27" spans="1:44" ht="15.75" customHeight="1" x14ac:dyDescent="0.15">
      <c r="A27" s="25"/>
      <c r="B27" s="616"/>
      <c r="C27" s="617"/>
      <c r="D27" s="617"/>
      <c r="E27" s="617"/>
      <c r="F27" s="617"/>
      <c r="G27" s="617"/>
      <c r="H27" s="617"/>
      <c r="I27" s="617"/>
      <c r="J27" s="617"/>
      <c r="K27" s="617"/>
      <c r="L27" s="617"/>
      <c r="M27" s="617"/>
      <c r="N27" s="617"/>
      <c r="O27" s="617"/>
      <c r="P27" s="617"/>
      <c r="Q27" s="617"/>
      <c r="R27" s="618"/>
      <c r="S27" s="15"/>
      <c r="T27" s="10"/>
      <c r="U27" s="378" t="s">
        <v>116</v>
      </c>
      <c r="V27" s="89" t="s">
        <v>9</v>
      </c>
      <c r="W27" s="89" t="s">
        <v>10</v>
      </c>
      <c r="X27" s="89" t="s">
        <v>11</v>
      </c>
      <c r="Y27" s="46"/>
      <c r="Z27" s="13"/>
      <c r="AA27" s="89" t="s">
        <v>10</v>
      </c>
      <c r="AB27" s="89" t="s">
        <v>11</v>
      </c>
      <c r="AC27" s="89"/>
      <c r="AD27" s="21"/>
      <c r="AE27" s="90" t="s">
        <v>116</v>
      </c>
      <c r="AF27" s="13"/>
      <c r="AG27" s="13"/>
      <c r="AH27" s="13"/>
      <c r="AI27" s="13"/>
      <c r="AJ27" s="13"/>
      <c r="AK27" s="13"/>
      <c r="AL27" s="13"/>
      <c r="AM27" s="89" t="s">
        <v>9</v>
      </c>
      <c r="AN27" s="13"/>
      <c r="AO27" s="13"/>
      <c r="AP27" s="89" t="s">
        <v>10</v>
      </c>
      <c r="AQ27" s="89" t="s">
        <v>11</v>
      </c>
      <c r="AR27" s="14"/>
    </row>
    <row r="28" spans="1:44" ht="15.75" customHeight="1" x14ac:dyDescent="0.2">
      <c r="A28" s="25"/>
      <c r="B28" s="616"/>
      <c r="C28" s="617"/>
      <c r="D28" s="617"/>
      <c r="E28" s="617"/>
      <c r="F28" s="617"/>
      <c r="G28" s="617"/>
      <c r="H28" s="617"/>
      <c r="I28" s="617"/>
      <c r="J28" s="617"/>
      <c r="K28" s="617"/>
      <c r="L28" s="617"/>
      <c r="M28" s="617"/>
      <c r="N28" s="617"/>
      <c r="O28" s="617"/>
      <c r="P28" s="617"/>
      <c r="Q28" s="617"/>
      <c r="R28" s="618"/>
      <c r="S28" s="15"/>
      <c r="T28" s="10"/>
      <c r="U28" s="379" t="s">
        <v>874</v>
      </c>
      <c r="V28" s="92" t="s">
        <v>20</v>
      </c>
      <c r="W28" s="93">
        <f>W7-AA7</f>
        <v>0</v>
      </c>
      <c r="X28" s="56" t="s">
        <v>119</v>
      </c>
      <c r="Y28" s="57"/>
      <c r="Z28" s="61"/>
      <c r="AA28" s="93">
        <f>AE7-AI7</f>
        <v>0</v>
      </c>
      <c r="AB28" s="56" t="s">
        <v>120</v>
      </c>
      <c r="AC28" s="56"/>
      <c r="AD28" s="21"/>
      <c r="AE28" s="95" t="s">
        <v>876</v>
      </c>
      <c r="AF28" s="61"/>
      <c r="AG28" s="61"/>
      <c r="AH28" s="61"/>
      <c r="AI28" s="61"/>
      <c r="AJ28" s="61"/>
      <c r="AK28" s="61"/>
      <c r="AL28" s="61"/>
      <c r="AM28" s="92" t="s">
        <v>20</v>
      </c>
      <c r="AN28" s="61"/>
      <c r="AO28" s="61"/>
      <c r="AP28" s="93">
        <f>AL7-AP7</f>
        <v>0</v>
      </c>
      <c r="AQ28" s="56" t="s">
        <v>121</v>
      </c>
      <c r="AR28" s="14"/>
    </row>
    <row r="29" spans="1:44" ht="15.75" customHeight="1" x14ac:dyDescent="0.2">
      <c r="A29" s="25"/>
      <c r="B29" s="616"/>
      <c r="C29" s="617"/>
      <c r="D29" s="617"/>
      <c r="E29" s="617"/>
      <c r="F29" s="617"/>
      <c r="G29" s="617"/>
      <c r="H29" s="617"/>
      <c r="I29" s="617"/>
      <c r="J29" s="617"/>
      <c r="K29" s="617"/>
      <c r="L29" s="617"/>
      <c r="M29" s="617"/>
      <c r="N29" s="617"/>
      <c r="O29" s="617"/>
      <c r="P29" s="617"/>
      <c r="Q29" s="617"/>
      <c r="R29" s="618"/>
      <c r="S29" s="15"/>
      <c r="T29" s="10"/>
      <c r="U29" s="379" t="s">
        <v>122</v>
      </c>
      <c r="V29" s="92" t="s">
        <v>20</v>
      </c>
      <c r="W29" s="93">
        <f>AA17-$N$19</f>
        <v>0</v>
      </c>
      <c r="X29" s="56" t="s">
        <v>123</v>
      </c>
      <c r="Y29" s="57"/>
      <c r="Z29" s="61"/>
      <c r="AA29" s="93">
        <f>IF(AA28=0,0,AI17-$N$19)</f>
        <v>0</v>
      </c>
      <c r="AB29" s="56" t="s">
        <v>124</v>
      </c>
      <c r="AC29" s="56"/>
      <c r="AD29" s="94"/>
      <c r="AE29" s="95" t="s">
        <v>125</v>
      </c>
      <c r="AF29" s="61"/>
      <c r="AG29" s="61"/>
      <c r="AH29" s="61"/>
      <c r="AI29" s="61"/>
      <c r="AJ29" s="61"/>
      <c r="AK29" s="61"/>
      <c r="AL29" s="61"/>
      <c r="AM29" s="92" t="s">
        <v>20</v>
      </c>
      <c r="AN29" s="61"/>
      <c r="AO29" s="61"/>
      <c r="AP29" s="93">
        <f>(AP17-$N$19)-W29</f>
        <v>0</v>
      </c>
      <c r="AQ29" s="56" t="s">
        <v>126</v>
      </c>
      <c r="AR29" s="14"/>
    </row>
    <row r="30" spans="1:44" ht="15.75" customHeight="1" x14ac:dyDescent="0.2">
      <c r="A30" s="25"/>
      <c r="B30" s="616"/>
      <c r="C30" s="617"/>
      <c r="D30" s="617"/>
      <c r="E30" s="617"/>
      <c r="F30" s="617"/>
      <c r="G30" s="617"/>
      <c r="H30" s="617"/>
      <c r="I30" s="617"/>
      <c r="J30" s="617"/>
      <c r="K30" s="617"/>
      <c r="L30" s="617"/>
      <c r="M30" s="617"/>
      <c r="N30" s="617"/>
      <c r="O30" s="617"/>
      <c r="P30" s="617"/>
      <c r="Q30" s="617"/>
      <c r="R30" s="618"/>
      <c r="S30" s="15"/>
      <c r="T30" s="10"/>
      <c r="U30" s="379" t="s">
        <v>875</v>
      </c>
      <c r="V30" s="92" t="s">
        <v>20</v>
      </c>
      <c r="W30" s="327" t="e">
        <f>(W28*($E$20*(1-$E$18)-$E$18*(4.186*($N$20-$E$15)+2257))-W29*$E23)/$E$20</f>
        <v>#DIV/0!</v>
      </c>
      <c r="X30" s="328" t="s">
        <v>127</v>
      </c>
      <c r="Y30" s="329"/>
      <c r="Z30" s="330"/>
      <c r="AA30" s="327">
        <f>IF(AA28=0,0,(AA28*($E$20*(1-$E$18)-$E$18*(4.186*($N$20-$E$15)+2257))-AA29*$E23)/$E$20)</f>
        <v>0</v>
      </c>
      <c r="AB30" s="328" t="s">
        <v>128</v>
      </c>
      <c r="AC30" s="328"/>
      <c r="AD30" s="331"/>
      <c r="AE30" s="332" t="s">
        <v>875</v>
      </c>
      <c r="AF30" s="330"/>
      <c r="AG30" s="330"/>
      <c r="AH30" s="330"/>
      <c r="AI30" s="330"/>
      <c r="AJ30" s="330"/>
      <c r="AK30" s="330"/>
      <c r="AL30" s="330"/>
      <c r="AM30" s="333" t="s">
        <v>20</v>
      </c>
      <c r="AN30" s="330"/>
      <c r="AO30" s="330"/>
      <c r="AP30" s="327" t="e">
        <f>(AP28*($E$20*(1-$E$18)-$E$18*(4.186*($N$20-$E$15)+2257))-AP29*$E23)/$E$20</f>
        <v>#DIV/0!</v>
      </c>
      <c r="AQ30" s="56" t="s">
        <v>129</v>
      </c>
      <c r="AR30" s="14"/>
    </row>
    <row r="31" spans="1:44" ht="15.75" customHeight="1" x14ac:dyDescent="0.2">
      <c r="A31" s="25"/>
      <c r="B31" s="616"/>
      <c r="C31" s="617"/>
      <c r="D31" s="617"/>
      <c r="E31" s="617"/>
      <c r="F31" s="617"/>
      <c r="G31" s="617"/>
      <c r="H31" s="617"/>
      <c r="I31" s="617"/>
      <c r="J31" s="617"/>
      <c r="K31" s="617"/>
      <c r="L31" s="617"/>
      <c r="M31" s="617"/>
      <c r="N31" s="617"/>
      <c r="O31" s="617"/>
      <c r="P31" s="617"/>
      <c r="Q31" s="617"/>
      <c r="R31" s="618"/>
      <c r="S31" s="15"/>
      <c r="T31" s="10"/>
      <c r="U31" s="379" t="s">
        <v>130</v>
      </c>
      <c r="V31" s="92" t="s">
        <v>20</v>
      </c>
      <c r="W31" s="93">
        <f>SUM(W12:W15)-SUM(AA12:AA15)</f>
        <v>0</v>
      </c>
      <c r="X31" s="56" t="s">
        <v>131</v>
      </c>
      <c r="Y31" s="57"/>
      <c r="Z31" s="61"/>
      <c r="AA31" s="93">
        <f>SUM(AE12:AE15)-SUM(AI12:AI15)</f>
        <v>0</v>
      </c>
      <c r="AB31" s="56" t="s">
        <v>132</v>
      </c>
      <c r="AC31" s="56"/>
      <c r="AD31" s="94"/>
      <c r="AE31" s="95" t="s">
        <v>133</v>
      </c>
      <c r="AF31" s="61"/>
      <c r="AG31" s="61"/>
      <c r="AH31" s="61"/>
      <c r="AI31" s="61"/>
      <c r="AJ31" s="61"/>
      <c r="AK31" s="61"/>
      <c r="AL31" s="61"/>
      <c r="AM31" s="92" t="s">
        <v>20</v>
      </c>
      <c r="AN31" s="61"/>
      <c r="AO31" s="61"/>
      <c r="AP31" s="93">
        <f>(AL12-AP12)+(AL13-AP13)+(AL14-AP14)+(AL15-AP15)</f>
        <v>0</v>
      </c>
      <c r="AQ31" s="56" t="s">
        <v>134</v>
      </c>
      <c r="AR31" s="14"/>
    </row>
    <row r="32" spans="1:44" ht="15.75" customHeight="1" x14ac:dyDescent="0.2">
      <c r="A32" s="25"/>
      <c r="B32" s="616"/>
      <c r="C32" s="617"/>
      <c r="D32" s="617"/>
      <c r="E32" s="617"/>
      <c r="F32" s="617"/>
      <c r="G32" s="617"/>
      <c r="H32" s="617"/>
      <c r="I32" s="617"/>
      <c r="J32" s="617"/>
      <c r="K32" s="617"/>
      <c r="L32" s="617"/>
      <c r="M32" s="617"/>
      <c r="N32" s="617"/>
      <c r="O32" s="617"/>
      <c r="P32" s="617"/>
      <c r="Q32" s="617"/>
      <c r="R32" s="618"/>
      <c r="S32" s="15"/>
      <c r="T32" s="10"/>
      <c r="U32" s="379" t="s">
        <v>135</v>
      </c>
      <c r="V32" s="92" t="s">
        <v>20</v>
      </c>
      <c r="W32" s="93" t="e">
        <f>((AA12-$N15)*(AA8-W8)/($N$20-W8)+(AA13-$N16)*(AA9-W9)/($N$20-W9)+(AA14-$N17)*(AA10-W10)/($N$20-W10)+(AA15-$N18)*(AA11-W11)/($N$20-W11))</f>
        <v>#DIV/0!</v>
      </c>
      <c r="X32" s="56" t="s">
        <v>136</v>
      </c>
      <c r="Y32" s="57"/>
      <c r="Z32" s="61"/>
      <c r="AA32" s="93" t="e">
        <f>((AI12-$N15)*(AI8-AE8)/($N$20-AE8)+(AI13-$N16)*(AI9-AE9)/($N$20-AE9)+(AI14-$N17)*(AI10-AE10)/($N$20-AE10)+(AI15-$N18)*(AI11-AE11)/($N$20-AE11))</f>
        <v>#DIV/0!</v>
      </c>
      <c r="AB32" s="56" t="s">
        <v>137</v>
      </c>
      <c r="AC32" s="56"/>
      <c r="AD32" s="94"/>
      <c r="AE32" s="95" t="s">
        <v>138</v>
      </c>
      <c r="AF32" s="61"/>
      <c r="AG32" s="61"/>
      <c r="AH32" s="61"/>
      <c r="AI32" s="61"/>
      <c r="AJ32" s="61"/>
      <c r="AK32" s="61"/>
      <c r="AL32" s="61"/>
      <c r="AM32" s="92" t="s">
        <v>20</v>
      </c>
      <c r="AN32" s="61"/>
      <c r="AO32" s="61"/>
      <c r="AP32" s="93">
        <f>(AP12-$N$15+((AP9-25)/(N20-25))*(AP13-N16)+((AP10-25)/(N20-25))*(AP14-N17)+((AP11-25)/(N20-25))*(AP15-N18))</f>
        <v>0</v>
      </c>
      <c r="AQ32" s="56" t="s">
        <v>139</v>
      </c>
      <c r="AR32" s="14"/>
    </row>
    <row r="33" spans="1:122" ht="15.75" customHeight="1" x14ac:dyDescent="0.2">
      <c r="A33" s="25"/>
      <c r="B33" s="616"/>
      <c r="C33" s="617"/>
      <c r="D33" s="617"/>
      <c r="E33" s="617"/>
      <c r="F33" s="617"/>
      <c r="G33" s="617"/>
      <c r="H33" s="617"/>
      <c r="I33" s="617"/>
      <c r="J33" s="617"/>
      <c r="K33" s="617"/>
      <c r="L33" s="617"/>
      <c r="M33" s="617"/>
      <c r="N33" s="617"/>
      <c r="O33" s="617"/>
      <c r="P33" s="617"/>
      <c r="Q33" s="617"/>
      <c r="R33" s="618"/>
      <c r="S33" s="15"/>
      <c r="T33" s="10"/>
      <c r="U33" s="379" t="s">
        <v>140</v>
      </c>
      <c r="V33" s="92" t="s">
        <v>141</v>
      </c>
      <c r="W33" s="93">
        <f>(AA6-W6)*1440</f>
        <v>0</v>
      </c>
      <c r="X33" s="56" t="s">
        <v>142</v>
      </c>
      <c r="Y33" s="57"/>
      <c r="Z33" s="61"/>
      <c r="AA33" s="93">
        <f>(AI6-AE6)*1440</f>
        <v>0</v>
      </c>
      <c r="AB33" s="56" t="s">
        <v>143</v>
      </c>
      <c r="AC33" s="56"/>
      <c r="AD33" s="94"/>
      <c r="AE33" s="95" t="s">
        <v>144</v>
      </c>
      <c r="AF33" s="61"/>
      <c r="AG33" s="61"/>
      <c r="AH33" s="61"/>
      <c r="AI33" s="61"/>
      <c r="AJ33" s="61"/>
      <c r="AK33" s="61"/>
      <c r="AL33" s="61"/>
      <c r="AM33" s="92" t="s">
        <v>141</v>
      </c>
      <c r="AN33" s="61"/>
      <c r="AO33" s="61"/>
      <c r="AP33" s="93">
        <f>(AP6-AL6)*1440</f>
        <v>0</v>
      </c>
      <c r="AQ33" s="56" t="s">
        <v>145</v>
      </c>
      <c r="AR33" s="14"/>
    </row>
    <row r="34" spans="1:122" ht="15.75" customHeight="1" x14ac:dyDescent="0.2">
      <c r="A34" s="25"/>
      <c r="B34" s="616"/>
      <c r="C34" s="617"/>
      <c r="D34" s="617"/>
      <c r="E34" s="617"/>
      <c r="F34" s="617"/>
      <c r="G34" s="617"/>
      <c r="H34" s="617"/>
      <c r="I34" s="617"/>
      <c r="J34" s="617"/>
      <c r="K34" s="617"/>
      <c r="L34" s="617"/>
      <c r="M34" s="617"/>
      <c r="N34" s="617"/>
      <c r="O34" s="617"/>
      <c r="P34" s="617"/>
      <c r="Q34" s="617"/>
      <c r="R34" s="618"/>
      <c r="S34" s="15"/>
      <c r="T34" s="10"/>
      <c r="U34" s="379" t="s">
        <v>146</v>
      </c>
      <c r="V34" s="92" t="s">
        <v>141</v>
      </c>
      <c r="W34" s="327" t="e">
        <f>W33*75/(N20-W8)</f>
        <v>#DIV/0!</v>
      </c>
      <c r="X34" s="56" t="s">
        <v>147</v>
      </c>
      <c r="Y34" s="57"/>
      <c r="Z34" s="61"/>
      <c r="AA34" s="327" t="e">
        <f>AA33*75/(N20-AE8)</f>
        <v>#DIV/0!</v>
      </c>
      <c r="AB34" s="56" t="s">
        <v>148</v>
      </c>
      <c r="AC34" s="56"/>
      <c r="AD34" s="94"/>
      <c r="AE34" s="95" t="s">
        <v>149</v>
      </c>
      <c r="AF34" s="61"/>
      <c r="AG34" s="61"/>
      <c r="AH34" s="61"/>
      <c r="AI34" s="61"/>
      <c r="AJ34" s="61"/>
      <c r="AK34" s="61"/>
      <c r="AL34" s="61"/>
      <c r="AM34" s="92" t="s">
        <v>113</v>
      </c>
      <c r="AN34" s="61"/>
      <c r="AO34" s="61"/>
      <c r="AP34" s="434" t="e">
        <f>(4.186*((AL12-$N15+AP32)/2)*(AP8-AL8)+2260*AP31)/(AP30*$E$20)</f>
        <v>#DIV/0!</v>
      </c>
      <c r="AQ34" s="56" t="s">
        <v>150</v>
      </c>
      <c r="AR34" s="14"/>
    </row>
    <row r="35" spans="1:122" ht="15.75" customHeight="1" x14ac:dyDescent="0.2">
      <c r="A35" s="25"/>
      <c r="B35" s="613"/>
      <c r="C35" s="614"/>
      <c r="D35" s="614"/>
      <c r="E35" s="614"/>
      <c r="F35" s="614"/>
      <c r="G35" s="614"/>
      <c r="H35" s="614"/>
      <c r="I35" s="614"/>
      <c r="J35" s="614"/>
      <c r="K35" s="614"/>
      <c r="L35" s="614"/>
      <c r="M35" s="614"/>
      <c r="N35" s="614"/>
      <c r="O35" s="614"/>
      <c r="P35" s="614"/>
      <c r="Q35" s="614"/>
      <c r="R35" s="615"/>
      <c r="S35" s="15"/>
      <c r="T35" s="10"/>
      <c r="U35" s="379" t="s">
        <v>149</v>
      </c>
      <c r="V35" s="92" t="s">
        <v>113</v>
      </c>
      <c r="W35" s="434" t="e">
        <f>(4.186*SUM((W12-$N15)*(AA8-W8),(W13-$N16)*(AA9-W9),(W14-$N17)*(AA10-W10),(W15-$N18)*(AA11-W11))+2260*W31)/(W30*$E20)</f>
        <v>#DIV/0!</v>
      </c>
      <c r="X35" s="56" t="s">
        <v>151</v>
      </c>
      <c r="Y35" s="57"/>
      <c r="Z35" s="61"/>
      <c r="AA35" s="434" t="e">
        <f>(4.186*SUM((AE12-$N15)*(AI8-AE8),(AE13-$N16)*(AI9-AE9),(AE14-$N17)*(AI10-AE10),(AE15-$N18)*(AI11-AE11))+2260*AA31)/(AA30*$E20)</f>
        <v>#DIV/0!</v>
      </c>
      <c r="AB35" s="56" t="s">
        <v>152</v>
      </c>
      <c r="AC35" s="56"/>
      <c r="AD35" s="94"/>
      <c r="AE35" s="95" t="s">
        <v>153</v>
      </c>
      <c r="AF35" s="61"/>
      <c r="AG35" s="61"/>
      <c r="AH35" s="61"/>
      <c r="AI35" s="61"/>
      <c r="AJ35" s="61"/>
      <c r="AK35" s="61"/>
      <c r="AL35" s="61"/>
      <c r="AM35" s="92" t="s">
        <v>154</v>
      </c>
      <c r="AN35" s="61"/>
      <c r="AO35" s="61"/>
      <c r="AP35" s="421" t="e">
        <f>AP30/AP33</f>
        <v>#DIV/0!</v>
      </c>
      <c r="AQ35" s="56" t="s">
        <v>155</v>
      </c>
      <c r="AR35" s="14"/>
    </row>
    <row r="36" spans="1:122" ht="15.75" customHeight="1" thickBot="1" x14ac:dyDescent="0.25">
      <c r="A36" s="25"/>
      <c r="B36" s="110" t="s">
        <v>184</v>
      </c>
      <c r="C36" s="110"/>
      <c r="D36" s="110"/>
      <c r="E36" s="110"/>
      <c r="F36" s="110"/>
      <c r="G36" s="110"/>
      <c r="H36" s="110"/>
      <c r="I36" s="110"/>
      <c r="J36" s="110"/>
      <c r="K36" s="110"/>
      <c r="L36" s="110"/>
      <c r="M36" s="110"/>
      <c r="N36" s="110"/>
      <c r="O36" s="111"/>
      <c r="P36" s="111"/>
      <c r="Q36" s="111"/>
      <c r="R36" s="111"/>
      <c r="S36" s="15"/>
      <c r="T36" s="10"/>
      <c r="U36" s="379" t="s">
        <v>153</v>
      </c>
      <c r="V36" s="92" t="s">
        <v>154</v>
      </c>
      <c r="W36" s="421" t="e">
        <f>W30/W33</f>
        <v>#DIV/0!</v>
      </c>
      <c r="X36" s="92" t="s">
        <v>156</v>
      </c>
      <c r="Y36" s="57"/>
      <c r="Z36" s="61"/>
      <c r="AA36" s="421" t="e">
        <f>AA30/AA33</f>
        <v>#DIV/0!</v>
      </c>
      <c r="AB36" s="56" t="s">
        <v>157</v>
      </c>
      <c r="AC36" s="56"/>
      <c r="AD36" s="94"/>
      <c r="AE36" s="95" t="s">
        <v>158</v>
      </c>
      <c r="AF36" s="61"/>
      <c r="AG36" s="61"/>
      <c r="AH36" s="61"/>
      <c r="AI36" s="61"/>
      <c r="AJ36" s="61"/>
      <c r="AK36" s="61"/>
      <c r="AL36" s="61"/>
      <c r="AM36" s="92" t="s">
        <v>844</v>
      </c>
      <c r="AN36" s="61"/>
      <c r="AO36" s="61"/>
      <c r="AP36" s="421" t="e">
        <f>AP30/AP32*1000</f>
        <v>#DIV/0!</v>
      </c>
      <c r="AQ36" s="56" t="s">
        <v>160</v>
      </c>
      <c r="AR36" s="14"/>
    </row>
    <row r="37" spans="1:122" ht="13.5" customHeight="1" thickTop="1" thickBot="1" x14ac:dyDescent="0.25">
      <c r="A37" s="109"/>
      <c r="B37" s="249"/>
      <c r="C37" s="249"/>
      <c r="D37" s="249"/>
      <c r="E37" s="249"/>
      <c r="F37" s="249"/>
      <c r="G37" s="249"/>
      <c r="H37" s="249"/>
      <c r="I37" s="249"/>
      <c r="J37" s="249"/>
      <c r="K37" s="249"/>
      <c r="L37" s="249"/>
      <c r="M37" s="249"/>
      <c r="N37" s="249"/>
      <c r="O37" s="249"/>
      <c r="P37" s="249"/>
      <c r="Q37" s="249"/>
      <c r="R37" s="249"/>
      <c r="S37" s="112"/>
      <c r="T37" s="10"/>
      <c r="U37" s="379" t="s">
        <v>158</v>
      </c>
      <c r="V37" s="92" t="s">
        <v>845</v>
      </c>
      <c r="W37" s="435" t="e">
        <f>1000*W30/W32</f>
        <v>#DIV/0!</v>
      </c>
      <c r="X37" s="56" t="s">
        <v>161</v>
      </c>
      <c r="Y37" s="57"/>
      <c r="Z37" s="61"/>
      <c r="AA37" s="435" t="e">
        <f>1000*AA30/AA32</f>
        <v>#DIV/0!</v>
      </c>
      <c r="AB37" s="56" t="s">
        <v>162</v>
      </c>
      <c r="AC37" s="56"/>
      <c r="AD37" s="94"/>
      <c r="AE37" s="95" t="s">
        <v>163</v>
      </c>
      <c r="AF37" s="61"/>
      <c r="AG37" s="61"/>
      <c r="AH37" s="61"/>
      <c r="AI37" s="61"/>
      <c r="AJ37" s="61"/>
      <c r="AK37" s="61"/>
      <c r="AL37" s="61"/>
      <c r="AM37" s="92" t="s">
        <v>164</v>
      </c>
      <c r="AN37" s="61"/>
      <c r="AO37" s="61"/>
      <c r="AP37" s="327" t="e">
        <f>AP30*$E$20/(AP33*60)</f>
        <v>#DIV/0!</v>
      </c>
      <c r="AQ37" s="56" t="s">
        <v>165</v>
      </c>
      <c r="AR37" s="14"/>
    </row>
    <row r="38" spans="1:122" ht="15.6" customHeight="1" thickTop="1" x14ac:dyDescent="0.2">
      <c r="B38" s="118" t="str">
        <f>"TEST #7 "&amp;D7</f>
        <v xml:space="preserve">TEST #7 </v>
      </c>
      <c r="S38" s="2"/>
      <c r="T38" s="21"/>
      <c r="U38" s="379" t="s">
        <v>166</v>
      </c>
      <c r="V38" s="92" t="s">
        <v>159</v>
      </c>
      <c r="W38" s="435" t="e">
        <f>W37*75/($N$20-W8)</f>
        <v>#DIV/0!</v>
      </c>
      <c r="X38" s="56" t="s">
        <v>167</v>
      </c>
      <c r="Y38" s="57"/>
      <c r="Z38" s="61"/>
      <c r="AA38" s="435" t="e">
        <f>AA37*75/($N$20-AE8)</f>
        <v>#DIV/0!</v>
      </c>
      <c r="AB38" s="56" t="s">
        <v>168</v>
      </c>
      <c r="AC38" s="56"/>
      <c r="AD38" s="94"/>
      <c r="AE38" s="95" t="s">
        <v>169</v>
      </c>
      <c r="AF38" s="61"/>
      <c r="AG38" s="61"/>
      <c r="AH38" s="61"/>
      <c r="AI38" s="61"/>
      <c r="AJ38" s="61"/>
      <c r="AK38" s="61"/>
      <c r="AL38" s="61"/>
      <c r="AM38" s="92" t="s">
        <v>92</v>
      </c>
      <c r="AN38" s="61"/>
      <c r="AO38" s="61"/>
      <c r="AP38" s="417" t="e">
        <f>W40/AP37</f>
        <v>#DIV/0!</v>
      </c>
      <c r="AQ38" s="92" t="s">
        <v>170</v>
      </c>
      <c r="AR38" s="14"/>
    </row>
    <row r="39" spans="1:122" ht="15.6" customHeight="1" thickBot="1" x14ac:dyDescent="0.25">
      <c r="B39" s="619" t="s">
        <v>747</v>
      </c>
      <c r="C39" s="620"/>
      <c r="D39" s="620"/>
      <c r="E39" s="620"/>
      <c r="F39" s="620"/>
      <c r="G39" s="620"/>
      <c r="H39" s="620"/>
      <c r="I39" s="620"/>
      <c r="J39" s="620"/>
      <c r="K39" s="620"/>
      <c r="L39" s="620"/>
      <c r="M39" s="620"/>
      <c r="N39" s="620"/>
      <c r="O39" s="620"/>
      <c r="P39" s="620"/>
      <c r="Q39" s="620"/>
      <c r="R39" s="621"/>
      <c r="T39" s="21"/>
      <c r="U39" s="379" t="s">
        <v>171</v>
      </c>
      <c r="V39" s="92" t="s">
        <v>172</v>
      </c>
      <c r="W39" s="93" t="e">
        <f>(W38/1000)*E20</f>
        <v>#DIV/0!</v>
      </c>
      <c r="X39" s="56" t="s">
        <v>173</v>
      </c>
      <c r="Y39" s="57"/>
      <c r="Z39" s="61"/>
      <c r="AA39" s="93" t="e">
        <f>(AA38/1000)*E20</f>
        <v>#DIV/0!</v>
      </c>
      <c r="AB39" s="56" t="s">
        <v>174</v>
      </c>
      <c r="AC39" s="56"/>
      <c r="AD39" s="94"/>
      <c r="AE39" s="102" t="s">
        <v>175</v>
      </c>
      <c r="AF39" s="103"/>
      <c r="AG39" s="103"/>
      <c r="AH39" s="103"/>
      <c r="AI39" s="103"/>
      <c r="AJ39" s="103"/>
      <c r="AK39" s="103"/>
      <c r="AL39" s="103"/>
      <c r="AM39" s="104" t="s">
        <v>172</v>
      </c>
      <c r="AN39" s="103"/>
      <c r="AO39" s="103"/>
      <c r="AP39" s="105" t="e">
        <f>(AP36/1000)*E20</f>
        <v>#DIV/0!</v>
      </c>
      <c r="AQ39" s="106" t="s">
        <v>176</v>
      </c>
      <c r="AR39" s="107"/>
    </row>
    <row r="40" spans="1:122" ht="14.25" thickBot="1" x14ac:dyDescent="0.25">
      <c r="B40" s="616"/>
      <c r="C40" s="617"/>
      <c r="D40" s="617"/>
      <c r="E40" s="617"/>
      <c r="F40" s="617"/>
      <c r="G40" s="617"/>
      <c r="H40" s="617"/>
      <c r="I40" s="617"/>
      <c r="J40" s="617"/>
      <c r="K40" s="617"/>
      <c r="L40" s="617"/>
      <c r="M40" s="617"/>
      <c r="N40" s="617"/>
      <c r="O40" s="617"/>
      <c r="P40" s="617"/>
      <c r="Q40" s="617"/>
      <c r="R40" s="618"/>
      <c r="T40" s="21"/>
      <c r="U40" s="380" t="s">
        <v>163</v>
      </c>
      <c r="V40" s="115" t="s">
        <v>164</v>
      </c>
      <c r="W40" s="422" t="e">
        <f>W30*$E$20/(W33*60)</f>
        <v>#DIV/0!</v>
      </c>
      <c r="X40" s="376" t="s">
        <v>177</v>
      </c>
      <c r="Y40" s="252"/>
      <c r="Z40" s="114"/>
      <c r="AA40" s="422" t="e">
        <f>AA30*$E$20/(AA33*60)</f>
        <v>#DIV/0!</v>
      </c>
      <c r="AB40" s="376" t="s">
        <v>178</v>
      </c>
      <c r="AC40" s="376"/>
      <c r="AD40" s="253"/>
      <c r="AE40" s="3" t="s">
        <v>179</v>
      </c>
      <c r="AM40" s="3" t="s">
        <v>20</v>
      </c>
      <c r="AP40" s="388" t="e">
        <f>IF(ISERROR(AA38),5*(W38+AP36),5*(AVERAGE(W38,AA38)+AP36))</f>
        <v>#DIV/0!</v>
      </c>
      <c r="AQ40" s="108" t="s">
        <v>180</v>
      </c>
      <c r="AR40" s="14"/>
      <c r="DG40" s="1"/>
      <c r="DH40" s="1"/>
      <c r="DI40" s="1"/>
      <c r="DJ40" s="1"/>
      <c r="DK40" s="1"/>
      <c r="DL40" s="1"/>
      <c r="DM40" s="1"/>
      <c r="DN40" s="1"/>
      <c r="DO40" s="1"/>
      <c r="DP40" s="1"/>
      <c r="DQ40" s="1"/>
      <c r="DR40" s="1"/>
    </row>
    <row r="41" spans="1:122" ht="15.6" customHeight="1" thickTop="1" thickBot="1" x14ac:dyDescent="0.2">
      <c r="B41" s="664"/>
      <c r="C41" s="665"/>
      <c r="D41" s="665"/>
      <c r="E41" s="665"/>
      <c r="F41" s="665"/>
      <c r="G41" s="665"/>
      <c r="H41" s="665"/>
      <c r="I41" s="665"/>
      <c r="J41" s="665"/>
      <c r="K41" s="665"/>
      <c r="L41" s="665"/>
      <c r="M41" s="665"/>
      <c r="N41" s="665"/>
      <c r="O41" s="665"/>
      <c r="P41" s="665"/>
      <c r="Q41" s="665"/>
      <c r="R41" s="666"/>
      <c r="T41" s="13"/>
      <c r="U41" s="13"/>
      <c r="V41" s="13"/>
      <c r="W41" s="13"/>
      <c r="X41" s="13"/>
      <c r="Y41" s="8"/>
      <c r="Z41" s="8"/>
      <c r="AA41" s="8"/>
      <c r="AB41" s="13"/>
      <c r="AC41" s="8"/>
      <c r="AD41" s="384"/>
      <c r="AE41" s="114" t="s">
        <v>181</v>
      </c>
      <c r="AF41" s="114"/>
      <c r="AG41" s="114"/>
      <c r="AH41" s="114"/>
      <c r="AI41" s="114"/>
      <c r="AJ41" s="114"/>
      <c r="AK41" s="114"/>
      <c r="AL41" s="114"/>
      <c r="AM41" s="114" t="s">
        <v>182</v>
      </c>
      <c r="AN41" s="114"/>
      <c r="AO41" s="114"/>
      <c r="AP41" s="254" t="e">
        <f>(AP40/1000)*E20</f>
        <v>#DIV/0!</v>
      </c>
      <c r="AQ41" s="115" t="s">
        <v>183</v>
      </c>
      <c r="AR41" s="116"/>
      <c r="DG41" s="1"/>
      <c r="DH41" s="1"/>
      <c r="DI41" s="1"/>
      <c r="DJ41" s="1"/>
      <c r="DK41" s="1"/>
      <c r="DL41" s="1"/>
      <c r="DM41" s="1"/>
      <c r="DN41" s="1"/>
      <c r="DO41" s="1"/>
      <c r="DP41" s="1"/>
      <c r="DQ41" s="1"/>
      <c r="DR41" s="1"/>
    </row>
    <row r="42" spans="1:122" ht="15.6" customHeight="1" thickTop="1" thickBot="1" x14ac:dyDescent="0.2">
      <c r="B42" s="616"/>
      <c r="C42" s="617"/>
      <c r="D42" s="617"/>
      <c r="E42" s="617"/>
      <c r="F42" s="617"/>
      <c r="G42" s="617"/>
      <c r="H42" s="617"/>
      <c r="I42" s="617"/>
      <c r="J42" s="617"/>
      <c r="K42" s="617"/>
      <c r="L42" s="617"/>
      <c r="M42" s="617"/>
      <c r="N42" s="617"/>
      <c r="O42" s="617"/>
      <c r="P42" s="617"/>
      <c r="Q42" s="617"/>
      <c r="R42" s="618"/>
      <c r="U42" s="387" t="s">
        <v>966</v>
      </c>
      <c r="W42" s="108">
        <v>1</v>
      </c>
      <c r="DG42" s="1"/>
      <c r="DH42" s="1"/>
      <c r="DI42" s="1"/>
      <c r="DJ42" s="1"/>
      <c r="DK42" s="1"/>
      <c r="DL42" s="1"/>
      <c r="DM42" s="1"/>
      <c r="DN42" s="1"/>
      <c r="DO42" s="1"/>
      <c r="DP42" s="1"/>
      <c r="DQ42" s="1"/>
      <c r="DR42" s="1"/>
    </row>
    <row r="43" spans="1:122" ht="15.6" customHeight="1" thickTop="1" x14ac:dyDescent="0.15">
      <c r="B43" s="616"/>
      <c r="C43" s="617"/>
      <c r="D43" s="617"/>
      <c r="E43" s="617"/>
      <c r="F43" s="617"/>
      <c r="G43" s="617"/>
      <c r="H43" s="617"/>
      <c r="I43" s="617"/>
      <c r="J43" s="617"/>
      <c r="K43" s="617"/>
      <c r="L43" s="617"/>
      <c r="M43" s="617"/>
      <c r="N43" s="617"/>
      <c r="O43" s="617"/>
      <c r="P43" s="617"/>
      <c r="Q43" s="617"/>
      <c r="R43" s="618"/>
      <c r="U43" s="283" t="s">
        <v>952</v>
      </c>
      <c r="V43" s="284"/>
      <c r="W43" s="285"/>
      <c r="X43" s="410"/>
      <c r="Y43" s="287"/>
      <c r="Z43" s="287"/>
      <c r="AA43" s="287"/>
      <c r="AB43" s="287"/>
      <c r="AC43" s="287"/>
      <c r="AD43" s="287"/>
      <c r="AE43" s="285" t="s">
        <v>88</v>
      </c>
      <c r="AF43" s="288" t="s">
        <v>866</v>
      </c>
      <c r="DG43" s="1"/>
      <c r="DH43" s="1"/>
      <c r="DI43" s="1"/>
      <c r="DJ43" s="1"/>
      <c r="DK43" s="1"/>
      <c r="DL43" s="1"/>
      <c r="DM43" s="1"/>
      <c r="DN43" s="1"/>
      <c r="DO43" s="1"/>
      <c r="DP43" s="1"/>
      <c r="DQ43" s="1"/>
      <c r="DR43" s="1"/>
    </row>
    <row r="44" spans="1:122" ht="15.6" customHeight="1" x14ac:dyDescent="0.15">
      <c r="B44" s="616"/>
      <c r="C44" s="617"/>
      <c r="D44" s="617"/>
      <c r="E44" s="617"/>
      <c r="F44" s="617"/>
      <c r="G44" s="617"/>
      <c r="H44" s="617"/>
      <c r="I44" s="617"/>
      <c r="J44" s="617"/>
      <c r="K44" s="617"/>
      <c r="L44" s="617"/>
      <c r="M44" s="617"/>
      <c r="N44" s="617"/>
      <c r="O44" s="617"/>
      <c r="P44" s="617"/>
      <c r="Q44" s="617"/>
      <c r="R44" s="618"/>
      <c r="U44" s="289" t="s">
        <v>851</v>
      </c>
      <c r="V44" s="290"/>
      <c r="AB44" s="22" t="s">
        <v>113</v>
      </c>
      <c r="AE44" s="396" t="e">
        <f>IF(AA33=0,W35,(W35+AA35)/2)</f>
        <v>#DIV/0!</v>
      </c>
      <c r="AF44" s="423" t="e">
        <f>IF(AE44=0,"-",IF(AE44&lt;Lists!E15,"0",IF(AE44&lt;Lists!I15,1,IF(AE44&lt;Lists!K15,2,IF(AE44&lt;Lists!M15,3,4)))))</f>
        <v>#DIV/0!</v>
      </c>
      <c r="DG44" s="1"/>
      <c r="DH44" s="1"/>
      <c r="DI44" s="1"/>
      <c r="DJ44" s="1"/>
      <c r="DK44" s="1"/>
      <c r="DL44" s="1"/>
      <c r="DM44" s="1"/>
      <c r="DN44" s="1"/>
      <c r="DO44" s="1"/>
      <c r="DP44" s="1"/>
      <c r="DQ44" s="1"/>
      <c r="DR44" s="1"/>
    </row>
    <row r="45" spans="1:122" ht="15.6" customHeight="1" x14ac:dyDescent="0.15">
      <c r="B45" s="616"/>
      <c r="C45" s="617"/>
      <c r="D45" s="617"/>
      <c r="E45" s="617"/>
      <c r="F45" s="617"/>
      <c r="G45" s="617"/>
      <c r="H45" s="617"/>
      <c r="I45" s="617"/>
      <c r="J45" s="617"/>
      <c r="K45" s="617"/>
      <c r="L45" s="617"/>
      <c r="M45" s="617"/>
      <c r="N45" s="617"/>
      <c r="O45" s="617"/>
      <c r="P45" s="617"/>
      <c r="Q45" s="617"/>
      <c r="R45" s="618"/>
      <c r="U45" s="289" t="s">
        <v>958</v>
      </c>
      <c r="V45" s="290"/>
      <c r="AB45" s="22" t="s">
        <v>959</v>
      </c>
      <c r="AE45" s="403" t="e">
        <f>AP30*'General Information'!L22/(AP32*AP33*1000)</f>
        <v>#DIV/0!</v>
      </c>
      <c r="AF45" s="424" t="e">
        <f>IF(AE45&gt;Lists!E16,"0",IF(AE45&gt;Lists!I16,1,IF(AE45&gt;Lists!K16,2,IF(AE45&gt;Lists!M16,3,4))))</f>
        <v>#DIV/0!</v>
      </c>
    </row>
    <row r="46" spans="1:122" ht="15.6" customHeight="1" x14ac:dyDescent="0.15">
      <c r="B46" s="616"/>
      <c r="C46" s="617"/>
      <c r="D46" s="617"/>
      <c r="E46" s="617"/>
      <c r="F46" s="617"/>
      <c r="G46" s="617"/>
      <c r="H46" s="617"/>
      <c r="I46" s="617"/>
      <c r="J46" s="617"/>
      <c r="K46" s="617"/>
      <c r="L46" s="617"/>
      <c r="M46" s="617"/>
      <c r="N46" s="617"/>
      <c r="O46" s="617"/>
      <c r="P46" s="617"/>
      <c r="Q46" s="617"/>
      <c r="R46" s="618"/>
      <c r="U46" s="289" t="s">
        <v>854</v>
      </c>
      <c r="V46" s="290"/>
      <c r="AB46" s="22" t="s">
        <v>960</v>
      </c>
      <c r="AE46" s="402" t="e">
        <f>IF(W42=3,IF(AA33=0,1000000/'General Information'!L22*AA23/(W35*W30),1000000/'General Information'!L22*(AA23/(W35*W30)+AI23/(AA35*AA30))/2),IF(W42=1,IF(AA33=0,1000000/'General Information'!L22*W70/(W35*W30),1000000/'General Information'!L22*(W70/(W35*W30)+AA70/(AA35*AA30))/2),IF(AA33=0,1000000/'General Information'!L22*W74/(W35*W30),1000000/'General Information'!L22*(W74/(W35*W30)+AA74/(AA35*AA30))/2)))</f>
        <v>#DIV/0!</v>
      </c>
      <c r="AF46" s="424" t="e">
        <f xml:space="preserve"> IF(AE46&gt;Lists!E17,"0",IF(AE46&gt;Lists!I17,1,IF(AE46&gt;Lists!K17,2,IF(AE46&gt;Lists!M17,3,4))))</f>
        <v>#DIV/0!</v>
      </c>
    </row>
    <row r="47" spans="1:122" ht="15.6" customHeight="1" x14ac:dyDescent="0.15">
      <c r="B47" s="616"/>
      <c r="C47" s="617"/>
      <c r="D47" s="617"/>
      <c r="E47" s="617"/>
      <c r="F47" s="617"/>
      <c r="G47" s="617"/>
      <c r="H47" s="617"/>
      <c r="I47" s="617"/>
      <c r="J47" s="617"/>
      <c r="K47" s="617"/>
      <c r="L47" s="617"/>
      <c r="M47" s="617"/>
      <c r="N47" s="617"/>
      <c r="O47" s="617"/>
      <c r="P47" s="617"/>
      <c r="Q47" s="617"/>
      <c r="R47" s="618"/>
      <c r="U47" s="289" t="s">
        <v>856</v>
      </c>
      <c r="V47" s="290"/>
      <c r="AB47" s="22" t="s">
        <v>961</v>
      </c>
      <c r="AE47" s="403" t="e">
        <f>IF(W42=3,AP23/(AP33*AP32)*1000,IF(W42=1,AE70/(AP33*AP32)*1000,AE74/(AP33*AP32)*1000))</f>
        <v>#DIV/0!</v>
      </c>
      <c r="AF47" s="424" t="e">
        <f>IF(AE47&gt;Lists!E18,"0",IF(AE47&gt;Lists!I18,1,IF(AE47&gt;Lists!K18,2,IF(AE47&gt;Lists!M18,3,4))))</f>
        <v>#DIV/0!</v>
      </c>
    </row>
    <row r="48" spans="1:122" ht="15.6" customHeight="1" x14ac:dyDescent="0.15">
      <c r="B48" s="613"/>
      <c r="C48" s="614"/>
      <c r="D48" s="614"/>
      <c r="E48" s="614"/>
      <c r="F48" s="614"/>
      <c r="G48" s="614"/>
      <c r="H48" s="614"/>
      <c r="I48" s="614"/>
      <c r="J48" s="614"/>
      <c r="K48" s="614"/>
      <c r="L48" s="614"/>
      <c r="M48" s="614"/>
      <c r="N48" s="614"/>
      <c r="O48" s="614"/>
      <c r="P48" s="614"/>
      <c r="Q48" s="614"/>
      <c r="R48" s="615"/>
      <c r="U48" s="289" t="s">
        <v>858</v>
      </c>
      <c r="V48" s="290"/>
      <c r="AB48" s="22" t="s">
        <v>962</v>
      </c>
      <c r="AE48" s="404" t="e">
        <f>IF(W42=3,IF(AA33=0,10^9/'General Information'!L22*AA24/(W35*W30),10^9/'General Information'!L22*(AA24/(W35*W30)+AI24/(AA35*AA30))/2),IF(W42=1,IF(AA33=0,10^9/'General Information'!L22*W71/(W35*W30),10^9/'General Information'!L22*(W71/(W35*W30)+AA71/(AA35*AA30))/2),IF(AA33=0,10^9/'General Information'!L22*W75/(W35*W30),10^9/'General Information'!L22*(W75/(W35*W30)+AA75/(AA35*AA30))/2)))</f>
        <v>#DIV/0!</v>
      </c>
      <c r="AF48" s="424" t="e">
        <f>IF(AE48&gt;Lists!E19,"0",IF(AE48&gt;Lists!I19,1,IF(AE48&gt;Lists!K19,2,IF(AE48&gt;Lists!M19,3,4))))</f>
        <v>#DIV/0!</v>
      </c>
    </row>
    <row r="49" spans="2:35" ht="15.6" customHeight="1" x14ac:dyDescent="0.15">
      <c r="C49" s="1"/>
      <c r="H49" s="1"/>
      <c r="I49" s="1"/>
      <c r="J49" s="1"/>
      <c r="K49" s="1"/>
      <c r="L49" s="1"/>
      <c r="M49" s="1"/>
      <c r="N49" s="1"/>
      <c r="O49" s="1"/>
      <c r="P49" s="1"/>
      <c r="Q49" s="1"/>
      <c r="R49" s="1"/>
      <c r="U49" s="289" t="s">
        <v>860</v>
      </c>
      <c r="V49" s="290"/>
      <c r="AB49" s="22" t="s">
        <v>963</v>
      </c>
      <c r="AE49" s="397" t="e">
        <f>IF(W42=3,AP24/(AP33*AP32)*1000000,IF(W42=1,AE71/(AP33*AP32)*1000000,AE75/(AP33*AP32)*1000000))</f>
        <v>#DIV/0!</v>
      </c>
      <c r="AF49" s="424" t="e">
        <f>IF(AE49&gt;Lists!E20,"0",IF(AE49&gt;Lists!I20,1,IF(AE49&gt;Lists!K20,2,IF(AE49&gt;Lists!M20,3,4))))</f>
        <v>#DIV/0!</v>
      </c>
    </row>
    <row r="50" spans="2:35" ht="15.6" customHeight="1" x14ac:dyDescent="0.15">
      <c r="B50" s="619" t="s">
        <v>802</v>
      </c>
      <c r="C50" s="620"/>
      <c r="D50" s="620"/>
      <c r="E50" s="620"/>
      <c r="F50" s="620"/>
      <c r="G50" s="620"/>
      <c r="H50" s="620"/>
      <c r="I50" s="620"/>
      <c r="J50" s="620"/>
      <c r="K50" s="620"/>
      <c r="L50" s="620"/>
      <c r="M50" s="620"/>
      <c r="N50" s="620"/>
      <c r="O50" s="620"/>
      <c r="P50" s="620"/>
      <c r="Q50" s="620"/>
      <c r="R50" s="621"/>
      <c r="U50" s="289" t="s">
        <v>879</v>
      </c>
      <c r="V50" s="290"/>
      <c r="AB50" s="22" t="s">
        <v>154</v>
      </c>
      <c r="AE50" s="397" t="e">
        <f>IF(W42=3,IF(IF(AA33=0,AA23/W33,(AA23/W33+AI23/AA33)/2)&lt;(AP23/AP33),AP23/AP33,IF(AA33=0,AA23/W33,(AA23/W33+AI23/AA33)/2)),IF(W42=1,IF(IF(AA33=0,W70/W33,(W70/W33+AA70/AA33)/2)&lt;(AE70/AP33),AE70/AP33,IF(AA33=0,W70/W33,(W70/W33+AA70/AA33)/2)),IF(IF(AA33=0,W74/W33,(W74/W33+AA74/AA33)/2)&lt;(AE74/AP33),AE74/AP33,IF(AA33=0,W74/W33,(W74/W33+AA74/AA33)/2))))</f>
        <v>#DIV/0!</v>
      </c>
      <c r="AF50" s="424" t="e">
        <f>IF(AE50&gt;Lists!E21,"0",IF(AE50&gt;Lists!I21,1,IF(AE50&gt;Lists!K21,2,IF(AE50&gt;Lists!M21,3,4))))</f>
        <v>#DIV/0!</v>
      </c>
    </row>
    <row r="51" spans="2:35" ht="15.6" customHeight="1" thickBot="1" x14ac:dyDescent="0.2">
      <c r="B51" s="616"/>
      <c r="C51" s="617"/>
      <c r="D51" s="617"/>
      <c r="E51" s="617"/>
      <c r="F51" s="617"/>
      <c r="G51" s="617"/>
      <c r="H51" s="617"/>
      <c r="I51" s="617"/>
      <c r="J51" s="617"/>
      <c r="K51" s="617"/>
      <c r="L51" s="617"/>
      <c r="M51" s="617"/>
      <c r="N51" s="617"/>
      <c r="O51" s="617"/>
      <c r="P51" s="617"/>
      <c r="Q51" s="617"/>
      <c r="R51" s="618"/>
      <c r="U51" s="291" t="s">
        <v>878</v>
      </c>
      <c r="V51" s="292"/>
      <c r="W51" s="269"/>
      <c r="X51" s="269"/>
      <c r="Y51" s="269"/>
      <c r="Z51" s="269"/>
      <c r="AA51" s="269"/>
      <c r="AB51" s="270" t="s">
        <v>864</v>
      </c>
      <c r="AC51" s="269"/>
      <c r="AD51" s="269"/>
      <c r="AE51" s="405" t="e">
        <f>IF(W42=3,IF(IF(AA33=0,AA24/W33,(AA24/W33+AI24/AA33)/2)&lt;(AP24/AP33),AP24/AP33*1000,IF(AA33=0,AA24/W33,(AA24/W33+AI24/AA33)/2)*1000),IF(W42=1,IF(IF(AA33=0,W71/W33,(W71/W33+AA71/AA33)/2)&lt;(AE71/AP33),AE71/AP33*1000,IF(AA33=0,W71/W33,(W71/W33+AA71/AA33)/2)*1000),IF(IF(AA33=0,W75/W33,(W75/W33+AA75/AA33)/2)&lt;(AE75/AP33),AE75/AP33*1000,IF(AA33=0,W75/W33,(W75/W33+AA75/AA33)/2)*1000)))</f>
        <v>#DIV/0!</v>
      </c>
      <c r="AF51" s="425" t="e">
        <f>IF(AE51&gt;Lists!E22,"0",IF(AE51&gt;Lists!I22,1,IF(AE51&gt;Lists!K22,2,IF(AE51&gt;Lists!M22,3,4))))</f>
        <v>#DIV/0!</v>
      </c>
      <c r="AI51" s="13"/>
    </row>
    <row r="52" spans="2:35" ht="15.6" customHeight="1" thickTop="1" thickBot="1" x14ac:dyDescent="0.2">
      <c r="B52" s="616"/>
      <c r="C52" s="617"/>
      <c r="D52" s="617"/>
      <c r="E52" s="617"/>
      <c r="F52" s="617"/>
      <c r="G52" s="617"/>
      <c r="H52" s="617"/>
      <c r="I52" s="617"/>
      <c r="J52" s="617"/>
      <c r="K52" s="617"/>
      <c r="L52" s="617"/>
      <c r="M52" s="617"/>
      <c r="N52" s="617"/>
      <c r="O52" s="617"/>
      <c r="P52" s="617"/>
      <c r="Q52" s="617"/>
      <c r="R52" s="618"/>
      <c r="U52" s="118" t="str">
        <f>"TEST #7 "&amp;D7</f>
        <v xml:space="preserve">TEST #7 </v>
      </c>
      <c r="V52" s="86" t="s">
        <v>804</v>
      </c>
      <c r="AI52" s="13"/>
    </row>
    <row r="53" spans="2:35" ht="15.6" customHeight="1" thickTop="1" x14ac:dyDescent="0.15">
      <c r="B53" s="616"/>
      <c r="C53" s="617"/>
      <c r="D53" s="617"/>
      <c r="E53" s="617"/>
      <c r="F53" s="617"/>
      <c r="G53" s="617"/>
      <c r="H53" s="617"/>
      <c r="I53" s="617"/>
      <c r="J53" s="617"/>
      <c r="K53" s="617"/>
      <c r="L53" s="617"/>
      <c r="M53" s="617"/>
      <c r="N53" s="617"/>
      <c r="O53" s="617"/>
      <c r="P53" s="617"/>
      <c r="Q53" s="617"/>
      <c r="R53" s="618"/>
      <c r="T53" s="7"/>
      <c r="U53" s="8"/>
      <c r="V53" s="8"/>
      <c r="W53" s="260" t="s">
        <v>110</v>
      </c>
      <c r="X53" s="8"/>
      <c r="Y53" s="261"/>
      <c r="Z53" s="8"/>
      <c r="AA53" s="260" t="s">
        <v>111</v>
      </c>
      <c r="AB53" s="8"/>
      <c r="AC53" s="261"/>
      <c r="AD53" s="8"/>
      <c r="AE53" s="260" t="s">
        <v>2</v>
      </c>
      <c r="AF53" s="8"/>
      <c r="AG53" s="146"/>
      <c r="AH53" s="146"/>
      <c r="AI53" s="271"/>
    </row>
    <row r="54" spans="2:35" ht="15.6" customHeight="1" x14ac:dyDescent="0.15">
      <c r="B54" s="616"/>
      <c r="C54" s="617"/>
      <c r="D54" s="617"/>
      <c r="E54" s="617"/>
      <c r="F54" s="617"/>
      <c r="G54" s="617"/>
      <c r="H54" s="617"/>
      <c r="I54" s="617"/>
      <c r="J54" s="617"/>
      <c r="K54" s="617"/>
      <c r="L54" s="617"/>
      <c r="M54" s="617"/>
      <c r="N54" s="617"/>
      <c r="O54" s="617"/>
      <c r="P54" s="617"/>
      <c r="Q54" s="617"/>
      <c r="R54" s="618"/>
      <c r="T54" s="10"/>
      <c r="U54" s="88" t="s">
        <v>116</v>
      </c>
      <c r="V54" s="89" t="s">
        <v>9</v>
      </c>
      <c r="W54" s="89" t="s">
        <v>10</v>
      </c>
      <c r="X54" s="89" t="s">
        <v>11</v>
      </c>
      <c r="Y54" s="46"/>
      <c r="Z54" s="13"/>
      <c r="AA54" s="89" t="s">
        <v>10</v>
      </c>
      <c r="AB54" s="89" t="s">
        <v>11</v>
      </c>
      <c r="AC54" s="46"/>
      <c r="AD54" s="13"/>
      <c r="AE54" s="89" t="s">
        <v>10</v>
      </c>
      <c r="AF54" s="89" t="s">
        <v>11</v>
      </c>
      <c r="AG54" s="71"/>
      <c r="AH54" s="71"/>
      <c r="AI54" s="271"/>
    </row>
    <row r="55" spans="2:35" ht="15.6" customHeight="1" x14ac:dyDescent="0.3">
      <c r="B55" s="616"/>
      <c r="C55" s="617"/>
      <c r="D55" s="617"/>
      <c r="E55" s="617"/>
      <c r="F55" s="617"/>
      <c r="G55" s="617"/>
      <c r="H55" s="617"/>
      <c r="I55" s="617"/>
      <c r="J55" s="617"/>
      <c r="K55" s="617"/>
      <c r="L55" s="617"/>
      <c r="M55" s="617"/>
      <c r="N55" s="617"/>
      <c r="O55" s="617"/>
      <c r="P55" s="617"/>
      <c r="Q55" s="617"/>
      <c r="R55" s="618"/>
      <c r="T55" s="10"/>
      <c r="U55" s="91" t="s">
        <v>805</v>
      </c>
      <c r="V55" s="92" t="s">
        <v>806</v>
      </c>
      <c r="W55" s="427">
        <f>'General Information'!$C$24*W33/60</f>
        <v>0</v>
      </c>
      <c r="X55" s="350" t="s">
        <v>884</v>
      </c>
      <c r="Y55" s="57"/>
      <c r="Z55" s="61"/>
      <c r="AA55" s="426">
        <f>'General Information'!$C$24*AA33/60</f>
        <v>0</v>
      </c>
      <c r="AB55" s="351" t="s">
        <v>885</v>
      </c>
      <c r="AC55" s="46"/>
      <c r="AD55" s="13"/>
      <c r="AE55" s="426">
        <f>'General Information'!$C$24*AP33/60</f>
        <v>0</v>
      </c>
      <c r="AF55" s="351" t="s">
        <v>886</v>
      </c>
      <c r="AG55" s="71"/>
      <c r="AH55" s="71"/>
      <c r="AI55" s="271"/>
    </row>
    <row r="56" spans="2:35" ht="15.6" customHeight="1" x14ac:dyDescent="0.3">
      <c r="B56" s="616"/>
      <c r="C56" s="617"/>
      <c r="D56" s="617"/>
      <c r="E56" s="617"/>
      <c r="F56" s="617"/>
      <c r="G56" s="617"/>
      <c r="H56" s="617"/>
      <c r="I56" s="617"/>
      <c r="J56" s="617"/>
      <c r="K56" s="617"/>
      <c r="L56" s="617"/>
      <c r="M56" s="617"/>
      <c r="N56" s="617"/>
      <c r="O56" s="617"/>
      <c r="P56" s="617"/>
      <c r="Q56" s="617"/>
      <c r="R56" s="618"/>
      <c r="T56" s="10"/>
      <c r="U56" s="91" t="s">
        <v>814</v>
      </c>
      <c r="V56" s="92" t="s">
        <v>781</v>
      </c>
      <c r="W56" s="421" t="e">
        <f>((AA18-$N21)+(AA19-$N22)+(AA20-$N23)/15/('General Information'!$C$22/0.008314/(AA21+273.15)))</f>
        <v>#DIV/0!</v>
      </c>
      <c r="X56" s="350" t="s">
        <v>887</v>
      </c>
      <c r="Y56" s="57"/>
      <c r="Z56" s="61"/>
      <c r="AA56" s="429" t="e">
        <f>((AI18-$N21)+(AI19-$N22)+(AI20-$N23)/15/('General Information'!$C$22/0.008314/(AI21+273.15)))</f>
        <v>#DIV/0!</v>
      </c>
      <c r="AB56" s="351" t="s">
        <v>888</v>
      </c>
      <c r="AC56" s="57"/>
      <c r="AD56" s="13"/>
      <c r="AE56" s="429" t="e">
        <f>((AP18-$N21)+(AP19-$N22)+(AP20-$N23)/15/('General Information'!$C$22/0.008314/(AP21+273.15)))</f>
        <v>#DIV/0!</v>
      </c>
      <c r="AF56" s="351" t="s">
        <v>889</v>
      </c>
      <c r="AG56" s="71"/>
      <c r="AH56" s="71"/>
      <c r="AI56" s="271"/>
    </row>
    <row r="57" spans="2:35" ht="15.6" customHeight="1" x14ac:dyDescent="0.3">
      <c r="B57" s="616"/>
      <c r="C57" s="617"/>
      <c r="D57" s="617"/>
      <c r="E57" s="617"/>
      <c r="F57" s="617"/>
      <c r="G57" s="617"/>
      <c r="H57" s="617"/>
      <c r="I57" s="617"/>
      <c r="J57" s="617"/>
      <c r="K57" s="617"/>
      <c r="L57" s="617"/>
      <c r="M57" s="617"/>
      <c r="N57" s="617"/>
      <c r="O57" s="617"/>
      <c r="P57" s="617"/>
      <c r="Q57" s="617"/>
      <c r="R57" s="618"/>
      <c r="T57" s="10"/>
      <c r="U57" s="91" t="s">
        <v>807</v>
      </c>
      <c r="V57" s="92" t="s">
        <v>808</v>
      </c>
      <c r="W57" s="395" t="e">
        <f>'General Information'!$C$22/0.008314/(AA21+273.15)*W56*0.000001*12</f>
        <v>#DIV/0!</v>
      </c>
      <c r="X57" s="350" t="s">
        <v>890</v>
      </c>
      <c r="Y57" s="57"/>
      <c r="Z57" s="61"/>
      <c r="AA57" s="392" t="e">
        <f>'General Information'!$C$22/0.008314/(AI21+273.15)*AA56*0.000001*12</f>
        <v>#DIV/0!</v>
      </c>
      <c r="AB57" s="351" t="s">
        <v>891</v>
      </c>
      <c r="AC57" s="57"/>
      <c r="AD57" s="13"/>
      <c r="AE57" s="392" t="e">
        <f>'General Information'!$C$22/0.008314/(AP21+273.15)*AE56*0.000001*12</f>
        <v>#DIV/0!</v>
      </c>
      <c r="AF57" s="351" t="s">
        <v>892</v>
      </c>
      <c r="AG57" s="71"/>
      <c r="AH57" s="71"/>
      <c r="AI57" s="271"/>
    </row>
    <row r="58" spans="2:35" ht="15.6" customHeight="1" x14ac:dyDescent="0.15">
      <c r="B58" s="616"/>
      <c r="C58" s="617"/>
      <c r="D58" s="617"/>
      <c r="E58" s="617"/>
      <c r="F58" s="617"/>
      <c r="G58" s="617"/>
      <c r="H58" s="617"/>
      <c r="I58" s="617"/>
      <c r="J58" s="617"/>
      <c r="K58" s="617"/>
      <c r="L58" s="617"/>
      <c r="M58" s="617"/>
      <c r="N58" s="617"/>
      <c r="O58" s="617"/>
      <c r="P58" s="617"/>
      <c r="Q58" s="617"/>
      <c r="R58" s="618"/>
      <c r="T58" s="10"/>
      <c r="U58" s="91" t="s">
        <v>877</v>
      </c>
      <c r="V58" s="92" t="s">
        <v>20</v>
      </c>
      <c r="W58" s="93" t="e">
        <f>W57*W55/fuelFracC</f>
        <v>#DIV/0!</v>
      </c>
      <c r="X58" s="351" t="s">
        <v>893</v>
      </c>
      <c r="Y58" s="57"/>
      <c r="Z58" s="61"/>
      <c r="AA58" s="392" t="e">
        <f>AA57*AA55/fuelFracC</f>
        <v>#DIV/0!</v>
      </c>
      <c r="AB58" s="351" t="s">
        <v>894</v>
      </c>
      <c r="AC58" s="57"/>
      <c r="AD58" s="13"/>
      <c r="AE58" s="392" t="e">
        <f>AE57*AE55/fuelFracC</f>
        <v>#DIV/0!</v>
      </c>
      <c r="AF58" s="351" t="s">
        <v>895</v>
      </c>
      <c r="AG58" s="13"/>
      <c r="AH58" s="13"/>
      <c r="AI58" s="271"/>
    </row>
    <row r="59" spans="2:35" ht="15.6" customHeight="1" x14ac:dyDescent="0.15">
      <c r="B59" s="613"/>
      <c r="C59" s="614"/>
      <c r="D59" s="614"/>
      <c r="E59" s="614"/>
      <c r="F59" s="614"/>
      <c r="G59" s="614"/>
      <c r="H59" s="614"/>
      <c r="I59" s="614"/>
      <c r="J59" s="614"/>
      <c r="K59" s="614"/>
      <c r="L59" s="614"/>
      <c r="M59" s="614"/>
      <c r="N59" s="614"/>
      <c r="O59" s="614"/>
      <c r="P59" s="614"/>
      <c r="Q59" s="614"/>
      <c r="R59" s="615"/>
      <c r="T59" s="10"/>
      <c r="U59" s="13" t="s">
        <v>824</v>
      </c>
      <c r="V59" s="22" t="s">
        <v>113</v>
      </c>
      <c r="W59" s="431" t="e">
        <f>W58/((1-$E$18)*(W28)-W29*charFracC/'General Information'!L23)</f>
        <v>#DIV/0!</v>
      </c>
      <c r="X59" s="351" t="s">
        <v>896</v>
      </c>
      <c r="Y59" s="334"/>
      <c r="Z59" s="335"/>
      <c r="AA59" s="430" t="e">
        <f>AA58/((1-$E$18)*(AA28)-AA29*charFracC/'General Information'!L23)</f>
        <v>#DIV/0!</v>
      </c>
      <c r="AB59" s="351" t="s">
        <v>897</v>
      </c>
      <c r="AC59" s="334"/>
      <c r="AD59" s="336"/>
      <c r="AE59" s="430" t="e">
        <f>AE58/((1-$E$18)*(AP28)-AP29*charFracC/'General Information'!L23)</f>
        <v>#DIV/0!</v>
      </c>
      <c r="AF59" s="351" t="s">
        <v>898</v>
      </c>
      <c r="AG59" s="13"/>
      <c r="AH59" s="13"/>
      <c r="AI59" s="271"/>
    </row>
    <row r="60" spans="2:35" ht="15.6" customHeight="1" x14ac:dyDescent="0.15">
      <c r="T60" s="10"/>
      <c r="U60" s="262" t="s">
        <v>813</v>
      </c>
      <c r="V60" s="13"/>
      <c r="W60" s="312"/>
      <c r="X60" s="56"/>
      <c r="Y60" s="57"/>
      <c r="Z60" s="61"/>
      <c r="AA60" s="2"/>
      <c r="AB60" s="22"/>
      <c r="AC60" s="57"/>
      <c r="AD60" s="13"/>
      <c r="AE60" s="312"/>
      <c r="AF60" s="22"/>
      <c r="AG60" s="22"/>
      <c r="AH60" s="13"/>
      <c r="AI60" s="271"/>
    </row>
    <row r="61" spans="2:35" ht="15.6" customHeight="1" x14ac:dyDescent="0.15">
      <c r="B61" s="619" t="s">
        <v>803</v>
      </c>
      <c r="C61" s="620"/>
      <c r="D61" s="620"/>
      <c r="E61" s="620"/>
      <c r="F61" s="620"/>
      <c r="G61" s="620"/>
      <c r="H61" s="620"/>
      <c r="I61" s="620"/>
      <c r="J61" s="620"/>
      <c r="K61" s="620"/>
      <c r="L61" s="620"/>
      <c r="M61" s="620"/>
      <c r="N61" s="620"/>
      <c r="O61" s="620"/>
      <c r="P61" s="620"/>
      <c r="Q61" s="620"/>
      <c r="R61" s="621"/>
      <c r="T61" s="10"/>
      <c r="U61" s="13" t="s">
        <v>812</v>
      </c>
      <c r="V61" s="22" t="s">
        <v>159</v>
      </c>
      <c r="W61" s="432" t="e">
        <f>IF($W$42=3,AA22/W$32*1000,IF($W$42=1,W69/W$32*1000,W73/W$32*1000))</f>
        <v>#DIV/0!</v>
      </c>
      <c r="X61" s="356" t="s">
        <v>919</v>
      </c>
      <c r="Y61" s="329"/>
      <c r="Z61" s="330"/>
      <c r="AA61" s="432" t="e">
        <f>IF($W$42=3,AI22/AA$32*1000,IF($W$42=1,AA69/AA$32*1000,AA73/AA$32*1000))</f>
        <v>#DIV/0!</v>
      </c>
      <c r="AB61" s="356" t="s">
        <v>920</v>
      </c>
      <c r="AC61" s="329"/>
      <c r="AD61" s="357"/>
      <c r="AE61" s="432" t="e">
        <f>IF($W$42=3,AP22/AP$32*1000,IF($W$42=1,AE69/AP$32*1000,AE73/AP$32*1000))</f>
        <v>#DIV/0!</v>
      </c>
      <c r="AF61" s="351" t="s">
        <v>921</v>
      </c>
      <c r="AG61" s="22"/>
      <c r="AH61" s="13"/>
      <c r="AI61" s="271"/>
    </row>
    <row r="62" spans="2:35" ht="15.6" customHeight="1" x14ac:dyDescent="0.15">
      <c r="B62" s="616"/>
      <c r="C62" s="617"/>
      <c r="D62" s="617"/>
      <c r="E62" s="617"/>
      <c r="F62" s="617"/>
      <c r="G62" s="617"/>
      <c r="H62" s="617"/>
      <c r="I62" s="617"/>
      <c r="J62" s="617"/>
      <c r="K62" s="617"/>
      <c r="L62" s="617"/>
      <c r="M62" s="617"/>
      <c r="N62" s="617"/>
      <c r="O62" s="617"/>
      <c r="P62" s="617"/>
      <c r="Q62" s="617"/>
      <c r="R62" s="618"/>
      <c r="T62" s="10"/>
      <c r="U62" s="13" t="s">
        <v>810</v>
      </c>
      <c r="V62" s="22" t="s">
        <v>159</v>
      </c>
      <c r="W62" s="406" t="e">
        <f>IF($W$42=3,AA23/W$32*1000,IF($W$42=1,W70/W$32*1000,W74/W$32*1000))</f>
        <v>#DIV/0!</v>
      </c>
      <c r="X62" s="358" t="s">
        <v>922</v>
      </c>
      <c r="Y62" s="337"/>
      <c r="Z62" s="338"/>
      <c r="AA62" s="406" t="e">
        <f>IF($W$42=3,AI23/AA$32*1000,IF($W$42=1,AA70/AA$32*1000,AA74/AA$32*1000))</f>
        <v>#DIV/0!</v>
      </c>
      <c r="AB62" s="358" t="s">
        <v>923</v>
      </c>
      <c r="AC62" s="337"/>
      <c r="AD62" s="54"/>
      <c r="AE62" s="406" t="e">
        <f>IF($W$42=3,AP23/AP$32*1000,IF($W$42=1,AE70/AP$32*1000,AE74/AP$32*1000))</f>
        <v>#DIV/0!</v>
      </c>
      <c r="AF62" s="351" t="s">
        <v>924</v>
      </c>
      <c r="AG62" s="22"/>
      <c r="AH62" s="13"/>
      <c r="AI62" s="271"/>
    </row>
    <row r="63" spans="2:35" ht="15.6" customHeight="1" x14ac:dyDescent="0.15">
      <c r="B63" s="616"/>
      <c r="C63" s="617"/>
      <c r="D63" s="617"/>
      <c r="E63" s="617"/>
      <c r="F63" s="617"/>
      <c r="G63" s="617"/>
      <c r="H63" s="617"/>
      <c r="I63" s="617"/>
      <c r="J63" s="617"/>
      <c r="K63" s="617"/>
      <c r="L63" s="617"/>
      <c r="M63" s="617"/>
      <c r="N63" s="617"/>
      <c r="O63" s="617"/>
      <c r="P63" s="617"/>
      <c r="Q63" s="617"/>
      <c r="R63" s="618"/>
      <c r="T63" s="10"/>
      <c r="U63" s="13" t="s">
        <v>811</v>
      </c>
      <c r="V63" s="22" t="s">
        <v>159</v>
      </c>
      <c r="W63" s="407" t="e">
        <f>IF($W$42=3,AA24/W$32*1000,IF($W$42=1,W71/W$32*1000,W75/W$32*1000))</f>
        <v>#DIV/0!</v>
      </c>
      <c r="X63" s="359" t="s">
        <v>925</v>
      </c>
      <c r="Y63" s="310"/>
      <c r="Z63" s="311"/>
      <c r="AA63" s="407" t="e">
        <f>IF($W$42=3,AI24/AA$32*1000,IF($W$42=1,AA71/AA$32*1000,AA75/AA$32*1000))</f>
        <v>#DIV/0!</v>
      </c>
      <c r="AB63" s="359" t="s">
        <v>926</v>
      </c>
      <c r="AC63" s="310"/>
      <c r="AD63" s="309"/>
      <c r="AE63" s="407" t="e">
        <f>IF($W$42=3,AP24/AP$32*1000,IF($W$42=1,AE71/AP$32*1000,AE75/AP$32*1000))</f>
        <v>#DIV/0!</v>
      </c>
      <c r="AF63" s="351" t="s">
        <v>927</v>
      </c>
      <c r="AG63" s="22"/>
      <c r="AH63" s="13"/>
      <c r="AI63" s="271"/>
    </row>
    <row r="64" spans="2:35" ht="15.6" customHeight="1" x14ac:dyDescent="0.15">
      <c r="B64" s="616"/>
      <c r="C64" s="617"/>
      <c r="D64" s="617"/>
      <c r="E64" s="617"/>
      <c r="F64" s="617"/>
      <c r="G64" s="617"/>
      <c r="H64" s="617"/>
      <c r="I64" s="617"/>
      <c r="J64" s="617"/>
      <c r="K64" s="617"/>
      <c r="L64" s="617"/>
      <c r="M64" s="617"/>
      <c r="N64" s="617"/>
      <c r="O64" s="617"/>
      <c r="P64" s="617"/>
      <c r="Q64" s="617"/>
      <c r="R64" s="618"/>
      <c r="T64" s="10"/>
      <c r="U64" s="262" t="s">
        <v>809</v>
      </c>
      <c r="V64" s="13"/>
      <c r="W64" s="2"/>
      <c r="X64" s="22"/>
      <c r="Y64" s="57"/>
      <c r="Z64" s="61"/>
      <c r="AA64" s="312"/>
      <c r="AB64" s="22"/>
      <c r="AC64" s="57"/>
      <c r="AD64" s="13"/>
      <c r="AE64" s="312"/>
      <c r="AF64" s="22"/>
      <c r="AG64" s="13"/>
      <c r="AH64" s="13"/>
      <c r="AI64" s="271"/>
    </row>
    <row r="65" spans="2:38" ht="15.6" customHeight="1" x14ac:dyDescent="0.15">
      <c r="B65" s="616"/>
      <c r="C65" s="617"/>
      <c r="D65" s="617"/>
      <c r="E65" s="617"/>
      <c r="F65" s="617"/>
      <c r="G65" s="617"/>
      <c r="H65" s="617"/>
      <c r="I65" s="617"/>
      <c r="J65" s="617"/>
      <c r="K65" s="617"/>
      <c r="L65" s="617"/>
      <c r="M65" s="617"/>
      <c r="N65" s="617"/>
      <c r="O65" s="617"/>
      <c r="P65" s="617"/>
      <c r="Q65" s="617"/>
      <c r="R65" s="618"/>
      <c r="T65" s="10"/>
      <c r="U65" s="13" t="s">
        <v>812</v>
      </c>
      <c r="V65" s="22" t="s">
        <v>821</v>
      </c>
      <c r="W65" s="93" t="e">
        <f>IF(W42=2,W73/(W28*(1-E18)-W29*charFracC/fuelFracC),IF(W56&gt;0,((AA18-$N21)*44/12)/(W$56/fuelFracC)*1000,0))</f>
        <v>#DIV/0!</v>
      </c>
      <c r="X65" s="351" t="s">
        <v>902</v>
      </c>
      <c r="Y65" s="57"/>
      <c r="Z65" s="61"/>
      <c r="AA65" s="85" t="e">
        <f>IF(W42=2,AA73/(AA28*(1-E18)-AA29*charFracC/fuelFracC),IF(AA56&gt;0,((AI18-$N21)*44/12)/(AA$56/fuelFracC)*1000,0))</f>
        <v>#DIV/0!</v>
      </c>
      <c r="AB65" s="351" t="s">
        <v>903</v>
      </c>
      <c r="AC65" s="57"/>
      <c r="AD65" s="13"/>
      <c r="AE65" s="85" t="e">
        <f>IF(W42=2,AE73/(AP28*(1-E18)-AP29*charFracC/fuelFracC),IF(AE56&gt;0,((AP18-$N21)*44/12)/(AE$56/fuelFracC)*1000,0))</f>
        <v>#DIV/0!</v>
      </c>
      <c r="AF65" s="351" t="s">
        <v>904</v>
      </c>
      <c r="AG65" s="13"/>
      <c r="AH65" s="13"/>
      <c r="AI65" s="271"/>
    </row>
    <row r="66" spans="2:38" ht="15.6" customHeight="1" x14ac:dyDescent="0.15">
      <c r="B66" s="616"/>
      <c r="C66" s="617"/>
      <c r="D66" s="617"/>
      <c r="E66" s="617"/>
      <c r="F66" s="617"/>
      <c r="G66" s="617"/>
      <c r="H66" s="617"/>
      <c r="I66" s="617"/>
      <c r="J66" s="617"/>
      <c r="K66" s="617"/>
      <c r="L66" s="617"/>
      <c r="M66" s="617"/>
      <c r="N66" s="617"/>
      <c r="O66" s="617"/>
      <c r="P66" s="617"/>
      <c r="Q66" s="617"/>
      <c r="R66" s="618"/>
      <c r="T66" s="10"/>
      <c r="U66" s="13" t="s">
        <v>810</v>
      </c>
      <c r="V66" s="22" t="s">
        <v>821</v>
      </c>
      <c r="W66" s="406" t="e">
        <f>IF(W42=2,W74/(W28*(1-E18)-W29*charFracC/fuelFracC),IF(W56&gt;0,((AA19-$N22)*28/12)/(W$56/fuelFracC)*1000,0))</f>
        <v>#DIV/0!</v>
      </c>
      <c r="X66" s="351" t="s">
        <v>899</v>
      </c>
      <c r="Y66" s="325"/>
      <c r="Z66" s="326"/>
      <c r="AA66" s="406" t="e">
        <f>IF(W42=2,AA74/(AA28*(1-E18)-AA29*charFracC/fuelFracC),IF(AA56&gt;0,((AI19-$N22)*28/12)/(AA$56/fuelFracC)*1000,0))</f>
        <v>#DIV/0!</v>
      </c>
      <c r="AB66" s="351" t="s">
        <v>900</v>
      </c>
      <c r="AC66" s="325"/>
      <c r="AD66" s="324"/>
      <c r="AE66" s="406" t="e">
        <f>IF(W42=2,AE74/(AP28*(1-E18)-AP29*charFracC/fuelFracC),IF(AE56&gt;0,((AP19-$N22)*28/12)/(AE$56/fuelFracC)*1000,0))</f>
        <v>#DIV/0!</v>
      </c>
      <c r="AF66" s="351" t="s">
        <v>901</v>
      </c>
      <c r="AG66" s="13"/>
      <c r="AH66" s="13"/>
      <c r="AI66" s="271"/>
      <c r="AL66" s="394"/>
    </row>
    <row r="67" spans="2:38" ht="15.6" customHeight="1" x14ac:dyDescent="0.15">
      <c r="B67" s="616"/>
      <c r="C67" s="617"/>
      <c r="D67" s="617"/>
      <c r="E67" s="617"/>
      <c r="F67" s="617"/>
      <c r="G67" s="617"/>
      <c r="H67" s="617"/>
      <c r="I67" s="617"/>
      <c r="J67" s="617"/>
      <c r="K67" s="617"/>
      <c r="L67" s="617"/>
      <c r="M67" s="617"/>
      <c r="N67" s="617"/>
      <c r="O67" s="617"/>
      <c r="P67" s="617"/>
      <c r="Q67" s="617"/>
      <c r="R67" s="618"/>
      <c r="T67" s="10"/>
      <c r="U67" s="13" t="s">
        <v>811</v>
      </c>
      <c r="V67" s="22" t="s">
        <v>821</v>
      </c>
      <c r="W67" s="408" t="e">
        <f>IF(W42=2,W75/(W28*(1-E18)-W29*charFracC/fuelFracC),IF(W57&gt;0,(AA20-$N23)/(W$57/fuelFracC)*1000/1000000,0))</f>
        <v>#DIV/0!</v>
      </c>
      <c r="X67" s="351" t="s">
        <v>905</v>
      </c>
      <c r="Y67" s="310"/>
      <c r="Z67" s="311"/>
      <c r="AA67" s="407" t="e">
        <f>IF(W42=2,AA75/(AA28*(1-E18)-AA29*charFracC/fuelFracC),IF(AA57&gt;0,(AI20-$N23)/(AA$57/fuelFracC)*1000/1000000,0))</f>
        <v>#DIV/0!</v>
      </c>
      <c r="AB67" s="351" t="s">
        <v>906</v>
      </c>
      <c r="AC67" s="310"/>
      <c r="AD67" s="309"/>
      <c r="AE67" s="407" t="e">
        <f>IF(W42=2,AE75/(AP28*(1-E18)-AP29*charFracC/fuelFracC),IF(AE57&gt;0,(AP20-$N23)/(AE$57/fuelFracC)*1000/1000000,0))</f>
        <v>#DIV/0!</v>
      </c>
      <c r="AF67" s="351" t="s">
        <v>907</v>
      </c>
      <c r="AG67" s="13"/>
      <c r="AH67" s="13"/>
      <c r="AI67" s="271"/>
    </row>
    <row r="68" spans="2:38" ht="15.6" customHeight="1" x14ac:dyDescent="0.15">
      <c r="B68" s="616"/>
      <c r="C68" s="617"/>
      <c r="D68" s="617"/>
      <c r="E68" s="617"/>
      <c r="F68" s="617"/>
      <c r="G68" s="617"/>
      <c r="H68" s="617"/>
      <c r="I68" s="617"/>
      <c r="J68" s="617"/>
      <c r="K68" s="617"/>
      <c r="L68" s="617"/>
      <c r="M68" s="617"/>
      <c r="N68" s="617"/>
      <c r="O68" s="617"/>
      <c r="P68" s="617"/>
      <c r="Q68" s="617"/>
      <c r="R68" s="618"/>
      <c r="T68" s="10"/>
      <c r="U68" s="262" t="s">
        <v>947</v>
      </c>
      <c r="V68" s="13"/>
      <c r="W68" s="2"/>
      <c r="X68" s="22"/>
      <c r="Y68" s="57"/>
      <c r="Z68" s="61"/>
      <c r="AA68" s="312"/>
      <c r="AB68" s="22"/>
      <c r="AC68" s="57"/>
      <c r="AD68" s="13"/>
      <c r="AE68" s="312"/>
      <c r="AF68" s="22"/>
      <c r="AG68" s="13"/>
      <c r="AH68" s="13"/>
      <c r="AI68" s="271"/>
    </row>
    <row r="69" spans="2:38" ht="15.6" customHeight="1" x14ac:dyDescent="0.15">
      <c r="B69" s="616"/>
      <c r="C69" s="617"/>
      <c r="D69" s="617"/>
      <c r="E69" s="617"/>
      <c r="F69" s="617"/>
      <c r="G69" s="617"/>
      <c r="H69" s="617"/>
      <c r="I69" s="617"/>
      <c r="J69" s="617"/>
      <c r="K69" s="617"/>
      <c r="L69" s="617"/>
      <c r="M69" s="617"/>
      <c r="N69" s="617"/>
      <c r="O69" s="617"/>
      <c r="P69" s="617"/>
      <c r="Q69" s="617"/>
      <c r="R69" s="618"/>
      <c r="T69" s="10"/>
      <c r="U69" s="13" t="s">
        <v>812</v>
      </c>
      <c r="V69" s="22" t="s">
        <v>20</v>
      </c>
      <c r="W69" s="93" t="e">
        <f>W65*(W28*(1-$E$18)-W29*charFracC/fuelFracC)/1000</f>
        <v>#DIV/0!</v>
      </c>
      <c r="X69" s="360" t="s">
        <v>914</v>
      </c>
      <c r="Y69" s="361"/>
      <c r="Z69" s="362"/>
      <c r="AA69" s="85" t="e">
        <f>AA65*(AA28*(1-$E$18)-AA29*charFracC/fuelFracC)/1000</f>
        <v>#DIV/0!</v>
      </c>
      <c r="AB69" s="360" t="s">
        <v>915</v>
      </c>
      <c r="AC69" s="361"/>
      <c r="AD69" s="363"/>
      <c r="AE69" s="85" t="e">
        <f>AE65*(AP28*(1-$E$18)-AP29*charFracC/fuelFracC)/1000</f>
        <v>#DIV/0!</v>
      </c>
      <c r="AF69" s="351" t="s">
        <v>916</v>
      </c>
      <c r="AG69" s="13"/>
      <c r="AH69" s="13"/>
      <c r="AI69" s="271"/>
    </row>
    <row r="70" spans="2:38" ht="15.6" customHeight="1" x14ac:dyDescent="0.15">
      <c r="B70" s="613"/>
      <c r="C70" s="614"/>
      <c r="D70" s="614"/>
      <c r="E70" s="614"/>
      <c r="F70" s="614"/>
      <c r="G70" s="614"/>
      <c r="H70" s="614"/>
      <c r="I70" s="614"/>
      <c r="J70" s="614"/>
      <c r="K70" s="614"/>
      <c r="L70" s="614"/>
      <c r="M70" s="614"/>
      <c r="N70" s="614"/>
      <c r="O70" s="614"/>
      <c r="P70" s="614"/>
      <c r="Q70" s="614"/>
      <c r="R70" s="615"/>
      <c r="T70" s="10"/>
      <c r="U70" s="13" t="s">
        <v>810</v>
      </c>
      <c r="V70" s="22" t="s">
        <v>20</v>
      </c>
      <c r="W70" s="401" t="e">
        <f>W66*(W28*(1-$E$18)-W29*charFracC/fuelFracC)/1000</f>
        <v>#DIV/0!</v>
      </c>
      <c r="X70" s="358" t="s">
        <v>911</v>
      </c>
      <c r="Y70" s="337"/>
      <c r="Z70" s="338"/>
      <c r="AA70" s="406" t="e">
        <f>AA66*(AA28*(1-$E$18)-AA29*charFracC/fuelFracC)/1000</f>
        <v>#DIV/0!</v>
      </c>
      <c r="AB70" s="358" t="s">
        <v>912</v>
      </c>
      <c r="AC70" s="337"/>
      <c r="AD70" s="54"/>
      <c r="AE70" s="406" t="e">
        <f>AE66*(AP28*(1-$E$18)-AP29*charFracC/fuelFracC)/1000</f>
        <v>#DIV/0!</v>
      </c>
      <c r="AF70" s="351" t="s">
        <v>913</v>
      </c>
      <c r="AG70" s="13"/>
      <c r="AH70" s="13"/>
      <c r="AI70" s="271"/>
    </row>
    <row r="71" spans="2:38" ht="15.6" customHeight="1" x14ac:dyDescent="0.15">
      <c r="T71" s="10"/>
      <c r="U71" s="13" t="s">
        <v>811</v>
      </c>
      <c r="V71" s="22" t="s">
        <v>20</v>
      </c>
      <c r="W71" s="408" t="e">
        <f>W67*(W28*(1-$E$18)-W29*charFracC/fuelFracC)/1000</f>
        <v>#DIV/0!</v>
      </c>
      <c r="X71" s="359" t="s">
        <v>908</v>
      </c>
      <c r="Y71" s="310"/>
      <c r="Z71" s="311"/>
      <c r="AA71" s="407" t="e">
        <f>AA67*(AA28*(1-$E$18)-AA29*charFracC/fuelFracC)/1000</f>
        <v>#DIV/0!</v>
      </c>
      <c r="AB71" s="359" t="s">
        <v>909</v>
      </c>
      <c r="AC71" s="310"/>
      <c r="AD71" s="309"/>
      <c r="AE71" s="407" t="e">
        <f>AE67*(AP28*(1-$E$18)-AP29*charFracC/fuelFracC)/1000</f>
        <v>#DIV/0!</v>
      </c>
      <c r="AF71" s="351" t="s">
        <v>910</v>
      </c>
      <c r="AG71" s="13"/>
      <c r="AH71" s="13"/>
      <c r="AI71" s="271"/>
    </row>
    <row r="72" spans="2:38" ht="15.6" customHeight="1" x14ac:dyDescent="0.15">
      <c r="T72" s="10"/>
      <c r="U72" s="262" t="s">
        <v>948</v>
      </c>
      <c r="V72" s="13"/>
      <c r="W72" s="312"/>
      <c r="X72" s="22"/>
      <c r="Y72" s="57"/>
      <c r="Z72" s="61"/>
      <c r="AA72" s="2"/>
      <c r="AB72" s="22"/>
      <c r="AC72" s="57"/>
      <c r="AD72" s="13"/>
      <c r="AE72" s="312"/>
      <c r="AF72" s="22"/>
      <c r="AG72" s="13"/>
      <c r="AH72" s="21"/>
    </row>
    <row r="73" spans="2:38" ht="15.6" customHeight="1" x14ac:dyDescent="0.15">
      <c r="T73" s="10"/>
      <c r="U73" s="13" t="s">
        <v>812</v>
      </c>
      <c r="V73" s="22" t="s">
        <v>20</v>
      </c>
      <c r="W73" s="85">
        <f>W55*(AA18-N21)*(44*'General Information'!C22)/(0.008314*(AA21+273.15))/1000000</f>
        <v>0</v>
      </c>
      <c r="X73" s="360" t="s">
        <v>914</v>
      </c>
      <c r="Y73" s="361"/>
      <c r="Z73" s="362"/>
      <c r="AA73" s="93">
        <f>AA55*(AI18-N21)*(44*'General Information'!C22)/(0.008314*(AI21+273.15))/1000000</f>
        <v>0</v>
      </c>
      <c r="AB73" s="360" t="s">
        <v>915</v>
      </c>
      <c r="AC73" s="361"/>
      <c r="AD73" s="363"/>
      <c r="AE73" s="85">
        <f>AE55*(AP18-N21)*(44*'General Information'!C22)/(0.008314*(AP21+273.15))/1000000</f>
        <v>0</v>
      </c>
      <c r="AF73" s="351" t="s">
        <v>916</v>
      </c>
      <c r="AG73" s="13"/>
      <c r="AH73" s="21"/>
    </row>
    <row r="74" spans="2:38" ht="15.6" customHeight="1" x14ac:dyDescent="0.15">
      <c r="T74" s="10"/>
      <c r="U74" s="13" t="s">
        <v>810</v>
      </c>
      <c r="V74" s="22" t="s">
        <v>20</v>
      </c>
      <c r="W74" s="406">
        <f>W55*(AA19-N22)*(28*'General Information'!C22)/(0.008314*(AA21+273.15))/1000000</f>
        <v>0</v>
      </c>
      <c r="X74" s="358" t="s">
        <v>911</v>
      </c>
      <c r="Y74" s="337"/>
      <c r="Z74" s="338"/>
      <c r="AA74" s="401">
        <f>AA55*(AI19-N22)*(28*'General Information'!C22)/(0.008314*(AI21+273.15))/1000000</f>
        <v>0</v>
      </c>
      <c r="AB74" s="358" t="s">
        <v>912</v>
      </c>
      <c r="AC74" s="337"/>
      <c r="AD74" s="54"/>
      <c r="AE74" s="406">
        <f>AE55*(AP19-N22)*(28*'General Information'!C22)/(0.008314*(AP21+273.15))/1000000</f>
        <v>0</v>
      </c>
      <c r="AF74" s="351" t="s">
        <v>913</v>
      </c>
      <c r="AG74" s="13"/>
      <c r="AH74" s="21"/>
    </row>
    <row r="75" spans="2:38" ht="15.6" customHeight="1" thickBot="1" x14ac:dyDescent="0.2">
      <c r="T75" s="10"/>
      <c r="U75" s="13" t="s">
        <v>811</v>
      </c>
      <c r="V75" s="22" t="s">
        <v>20</v>
      </c>
      <c r="W75" s="407">
        <f>W55*(AA20-N23)/1000000</f>
        <v>0</v>
      </c>
      <c r="X75" s="359" t="s">
        <v>908</v>
      </c>
      <c r="Y75" s="310"/>
      <c r="Z75" s="311"/>
      <c r="AA75" s="408">
        <f>AA55*(AI20-N23)/1000000</f>
        <v>0</v>
      </c>
      <c r="AB75" s="359" t="s">
        <v>909</v>
      </c>
      <c r="AC75" s="310"/>
      <c r="AD75" s="309"/>
      <c r="AE75" s="407">
        <f>AE55*(AP20-N23)/1000000</f>
        <v>0</v>
      </c>
      <c r="AF75" s="351" t="s">
        <v>910</v>
      </c>
      <c r="AG75" s="13"/>
      <c r="AH75" s="21"/>
    </row>
    <row r="76" spans="2:38" ht="15.6" customHeight="1" thickTop="1" x14ac:dyDescent="0.15">
      <c r="T76" s="258"/>
      <c r="U76" s="259" t="s">
        <v>818</v>
      </c>
      <c r="V76" s="259"/>
      <c r="W76" s="313"/>
      <c r="X76" s="352"/>
      <c r="Y76" s="259"/>
      <c r="Z76" s="259"/>
      <c r="AA76" s="259"/>
      <c r="AB76" s="259"/>
      <c r="AC76" s="259"/>
      <c r="AD76" s="259"/>
      <c r="AE76" s="259"/>
      <c r="AF76" s="259"/>
      <c r="AG76" s="259"/>
      <c r="AH76" s="297"/>
    </row>
    <row r="77" spans="2:38" ht="15" customHeight="1" x14ac:dyDescent="0.15">
      <c r="T77" s="10"/>
      <c r="U77" s="13" t="s">
        <v>819</v>
      </c>
      <c r="V77" s="13" t="s">
        <v>20</v>
      </c>
      <c r="W77" s="406" t="e">
        <f>(IF(ISERROR(AA$38),W62,AVERAGE(W62,AA62))+AE62)*5</f>
        <v>#DIV/0!</v>
      </c>
      <c r="X77" s="22" t="s">
        <v>917</v>
      </c>
      <c r="Y77" s="13"/>
      <c r="Z77" s="13"/>
      <c r="AA77" s="13"/>
      <c r="AB77" s="13"/>
      <c r="AC77" s="13"/>
      <c r="AD77" s="13"/>
      <c r="AE77" s="13"/>
      <c r="AF77" s="13"/>
      <c r="AG77" s="13"/>
      <c r="AH77" s="21"/>
    </row>
    <row r="78" spans="2:38" ht="15" customHeight="1" thickBot="1" x14ac:dyDescent="0.2">
      <c r="T78" s="113"/>
      <c r="U78" s="114" t="s">
        <v>820</v>
      </c>
      <c r="V78" s="114" t="s">
        <v>20</v>
      </c>
      <c r="W78" s="409" t="e">
        <f>(IF(ISERROR(AA$38),W63,AVERAGE(W63,AA63))+AE63)*5</f>
        <v>#DIV/0!</v>
      </c>
      <c r="X78" s="115" t="s">
        <v>918</v>
      </c>
      <c r="Y78" s="114"/>
      <c r="Z78" s="114"/>
      <c r="AA78" s="114"/>
      <c r="AB78" s="114"/>
      <c r="AC78" s="114"/>
      <c r="AD78" s="114"/>
      <c r="AE78" s="114"/>
      <c r="AF78" s="114"/>
      <c r="AG78" s="114"/>
      <c r="AH78" s="298"/>
    </row>
    <row r="79" spans="2:38" ht="15" customHeight="1" thickTop="1" x14ac:dyDescent="0.15"/>
  </sheetData>
  <mergeCells count="82">
    <mergeCell ref="A2:S2"/>
    <mergeCell ref="W2:AB2"/>
    <mergeCell ref="AE2:AJ2"/>
    <mergeCell ref="AL2:AQ2"/>
    <mergeCell ref="W3:X3"/>
    <mergeCell ref="AA3:AB3"/>
    <mergeCell ref="AE3:AF3"/>
    <mergeCell ref="AI3:AJ3"/>
    <mergeCell ref="AL3:AM3"/>
    <mergeCell ref="D10:K10"/>
    <mergeCell ref="AP3:AQ3"/>
    <mergeCell ref="AA4:AB4"/>
    <mergeCell ref="AI4:AJ4"/>
    <mergeCell ref="AL4:AM4"/>
    <mergeCell ref="AP4:AQ4"/>
    <mergeCell ref="D6:K6"/>
    <mergeCell ref="M6:P6"/>
    <mergeCell ref="D7:K7"/>
    <mergeCell ref="M7:P7"/>
    <mergeCell ref="D8:K8"/>
    <mergeCell ref="M8:P8"/>
    <mergeCell ref="D9:K9"/>
    <mergeCell ref="D11:K11"/>
    <mergeCell ref="B14:D14"/>
    <mergeCell ref="B15:D15"/>
    <mergeCell ref="K15:M15"/>
    <mergeCell ref="B16:D16"/>
    <mergeCell ref="K16:M16"/>
    <mergeCell ref="B23:D23"/>
    <mergeCell ref="W16:X16"/>
    <mergeCell ref="AE16:AF16"/>
    <mergeCell ref="AL16:AM16"/>
    <mergeCell ref="E17:G17"/>
    <mergeCell ref="K17:M17"/>
    <mergeCell ref="B18:D18"/>
    <mergeCell ref="K18:M18"/>
    <mergeCell ref="B19:D19"/>
    <mergeCell ref="K19:M19"/>
    <mergeCell ref="B20:D20"/>
    <mergeCell ref="K20:M20"/>
    <mergeCell ref="B21:D21"/>
    <mergeCell ref="B42:R42"/>
    <mergeCell ref="B33:R33"/>
    <mergeCell ref="B41:R41"/>
    <mergeCell ref="E25:R25"/>
    <mergeCell ref="B26:R26"/>
    <mergeCell ref="B27:R27"/>
    <mergeCell ref="B29:R29"/>
    <mergeCell ref="B30:R30"/>
    <mergeCell ref="B31:R31"/>
    <mergeCell ref="B28:R28"/>
    <mergeCell ref="B32:R32"/>
    <mergeCell ref="B34:R34"/>
    <mergeCell ref="B35:R35"/>
    <mergeCell ref="B39:R39"/>
    <mergeCell ref="B40:R40"/>
    <mergeCell ref="B58:R58"/>
    <mergeCell ref="B52:R52"/>
    <mergeCell ref="B57:R57"/>
    <mergeCell ref="B43:R43"/>
    <mergeCell ref="B44:R44"/>
    <mergeCell ref="B45:R45"/>
    <mergeCell ref="B47:R47"/>
    <mergeCell ref="B48:R48"/>
    <mergeCell ref="B50:R50"/>
    <mergeCell ref="B46:R46"/>
    <mergeCell ref="B51:R51"/>
    <mergeCell ref="B53:R53"/>
    <mergeCell ref="B54:R54"/>
    <mergeCell ref="B55:R55"/>
    <mergeCell ref="B56:R56"/>
    <mergeCell ref="B67:R67"/>
    <mergeCell ref="B69:R69"/>
    <mergeCell ref="B70:R70"/>
    <mergeCell ref="B59:R59"/>
    <mergeCell ref="B61:R61"/>
    <mergeCell ref="B62:R62"/>
    <mergeCell ref="B64:R64"/>
    <mergeCell ref="B65:R65"/>
    <mergeCell ref="B66:R66"/>
    <mergeCell ref="B63:R63"/>
    <mergeCell ref="B68:R68"/>
  </mergeCells>
  <conditionalFormatting sqref="W28:W40 AA28:AA40 AP28:AP41 AE44:AF51 W55:W75 AA55:AA75 AE55:AE75 W77:W78">
    <cfRule type="containsErrors" dxfId="7" priority="1" stopIfTrue="1">
      <formula>ISERROR(W28)</formula>
    </cfRule>
  </conditionalFormatting>
  <pageMargins left="0.74791666666666667" right="0.74791666666666667" top="0.75" bottom="0.75" header="0.51180555555555551" footer="0.5"/>
  <pageSetup scale="90" firstPageNumber="0" orientation="landscape" horizontalDpi="300" verticalDpi="300" r:id="rId1"/>
  <headerFooter alignWithMargins="0">
    <oddFooter>&amp;L&amp;F&amp;C&amp;A&amp;RPage &amp;P</oddFooter>
  </headerFooter>
  <rowBreaks count="1" manualBreakCount="1">
    <brk id="37" max="16383" man="1"/>
  </rowBreaks>
  <colBreaks count="2" manualBreakCount="2">
    <brk id="19" max="1048575" man="1"/>
    <brk id="52" max="1048575" man="1"/>
  </colBreaks>
  <ignoredErrors>
    <ignoredError sqref="D9:K11 E19 E22:E23 N20"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9457" r:id="rId4" name="ComboBox">
              <controlPr defaultSize="0" autoFill="0" autoLine="0" autoPict="0">
                <anchor moveWithCells="1" sizeWithCells="1">
                  <from>
                    <xdr:col>3</xdr:col>
                    <xdr:colOff>838200</xdr:colOff>
                    <xdr:row>15</xdr:row>
                    <xdr:rowOff>28575</xdr:rowOff>
                  </from>
                  <to>
                    <xdr:col>7</xdr:col>
                    <xdr:colOff>123825</xdr:colOff>
                    <xdr:row>16</xdr:row>
                    <xdr:rowOff>28575</xdr:rowOff>
                  </to>
                </anchor>
              </controlPr>
            </control>
          </mc:Choice>
        </mc:AlternateContent>
        <mc:AlternateContent xmlns:mc="http://schemas.openxmlformats.org/markup-compatibility/2006">
          <mc:Choice Requires="x14">
            <control shapeId="19458" r:id="rId5" name="Drop Down 2">
              <controlPr defaultSize="0" autoLine="0" autoPict="0">
                <anchor moveWithCells="1">
                  <from>
                    <xdr:col>21</xdr:col>
                    <xdr:colOff>0</xdr:colOff>
                    <xdr:row>41</xdr:row>
                    <xdr:rowOff>9525</xdr:rowOff>
                  </from>
                  <to>
                    <xdr:col>22</xdr:col>
                    <xdr:colOff>619125</xdr:colOff>
                    <xdr:row>42</xdr:row>
                    <xdr:rowOff>9525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dimension ref="A1:DU79"/>
  <sheetViews>
    <sheetView showGridLines="0" showZeros="0" zoomScaleNormal="100" zoomScaleSheetLayoutView="100" workbookViewId="0">
      <selection activeCell="D6" sqref="D6:K6"/>
    </sheetView>
  </sheetViews>
  <sheetFormatPr defaultColWidth="15.640625" defaultRowHeight="27.95" customHeight="1" x14ac:dyDescent="0.15"/>
  <cols>
    <col min="1" max="1" width="1.75" style="1" customWidth="1"/>
    <col min="2" max="2" width="14.5625" style="1" customWidth="1"/>
    <col min="3" max="3" width="6.60546875" style="2" customWidth="1"/>
    <col min="4" max="4" width="12.67578125" style="1" customWidth="1"/>
    <col min="5" max="5" width="8.08984375" style="1" customWidth="1"/>
    <col min="6" max="6" width="2.01953125" style="1" customWidth="1"/>
    <col min="7" max="7" width="5.93359375" style="1" customWidth="1"/>
    <col min="8" max="8" width="2.01953125" style="2" customWidth="1"/>
    <col min="9" max="9" width="7.28125" style="2" customWidth="1"/>
    <col min="10" max="10" width="1.75" style="2" customWidth="1"/>
    <col min="11" max="11" width="14.42578125" style="2" customWidth="1"/>
    <col min="12" max="12" width="5.66015625" style="2" customWidth="1"/>
    <col min="13" max="13" width="14.5625" style="2" customWidth="1"/>
    <col min="14" max="14" width="7.68359375" style="2" customWidth="1"/>
    <col min="15" max="15" width="2.01953125" style="2" customWidth="1"/>
    <col min="16" max="16" width="6.60546875" style="2" customWidth="1"/>
    <col min="17" max="17" width="2.01953125" style="2" customWidth="1"/>
    <col min="18" max="18" width="7.28125" style="2" customWidth="1"/>
    <col min="19" max="19" width="1.75" style="1" customWidth="1"/>
    <col min="20" max="20" width="1.75" style="3" customWidth="1"/>
    <col min="21" max="21" width="25.484375" style="3" customWidth="1"/>
    <col min="22" max="22" width="13.88671875" style="3" bestFit="1" customWidth="1"/>
    <col min="23" max="23" width="12" style="3" customWidth="1"/>
    <col min="24" max="24" width="5.390625" style="3" customWidth="1"/>
    <col min="25" max="25" width="0.5390625" style="3" customWidth="1"/>
    <col min="26" max="26" width="0.80859375" style="3" customWidth="1"/>
    <col min="27" max="27" width="8.76171875" style="3" customWidth="1"/>
    <col min="28" max="28" width="6.7421875" style="3" customWidth="1"/>
    <col min="29" max="30" width="0.80859375" style="3" customWidth="1"/>
    <col min="31" max="31" width="8.08984375" style="3" customWidth="1"/>
    <col min="32" max="32" width="5.796875" style="3" customWidth="1"/>
    <col min="33" max="33" width="0.80859375" style="3" customWidth="1"/>
    <col min="34" max="34" width="0.671875" style="3" customWidth="1"/>
    <col min="35" max="35" width="8.08984375" style="3" customWidth="1"/>
    <col min="36" max="36" width="5.12109375" style="3" customWidth="1"/>
    <col min="37" max="37" width="0.80859375" style="3" customWidth="1"/>
    <col min="38" max="38" width="8.62890625" style="3" customWidth="1"/>
    <col min="39" max="39" width="7.28125" style="3" customWidth="1"/>
    <col min="40" max="41" width="0.94140625" style="3" customWidth="1"/>
    <col min="42" max="42" width="8.08984375" style="3" customWidth="1"/>
    <col min="43" max="43" width="6.203125" style="3" customWidth="1"/>
    <col min="44" max="44" width="1.75" style="3" customWidth="1"/>
    <col min="45" max="45" width="8.359375" customWidth="1"/>
    <col min="46" max="46" width="5.796875" customWidth="1"/>
    <col min="47" max="47" width="6.47265625" customWidth="1"/>
    <col min="48" max="48" width="5.390625" customWidth="1"/>
    <col min="49" max="49" width="6.7421875" customWidth="1"/>
    <col min="50" max="50" width="7.4140625" customWidth="1"/>
    <col min="51" max="51" width="20.90234375" customWidth="1"/>
    <col min="52" max="53" width="1.75" customWidth="1"/>
    <col min="54" max="54" width="33.7109375" customWidth="1"/>
    <col min="55" max="55" width="5.796875" customWidth="1"/>
    <col min="56" max="56" width="6.47265625" customWidth="1"/>
    <col min="57" max="57" width="5.390625" customWidth="1"/>
    <col min="58" max="58" width="6.7421875" customWidth="1"/>
    <col min="59" max="59" width="7.4140625" customWidth="1"/>
    <col min="60" max="60" width="20.90234375" customWidth="1"/>
    <col min="61" max="61" width="0" hidden="1" customWidth="1"/>
    <col min="62" max="70" width="9.03515625" customWidth="1"/>
    <col min="71" max="122" width="8.8984375" customWidth="1"/>
    <col min="123" max="16384" width="15.640625" style="1"/>
  </cols>
  <sheetData>
    <row r="1" spans="1:125" ht="6" customHeight="1" thickTop="1" thickBot="1" x14ac:dyDescent="0.2">
      <c r="A1" s="4"/>
      <c r="B1" s="5"/>
      <c r="C1" s="5"/>
      <c r="D1" s="5"/>
      <c r="E1" s="5"/>
      <c r="F1" s="5"/>
      <c r="G1" s="5"/>
      <c r="H1" s="5"/>
      <c r="I1" s="5"/>
      <c r="J1" s="5"/>
      <c r="K1" s="5"/>
      <c r="L1" s="5"/>
      <c r="M1" s="5"/>
      <c r="N1" s="5"/>
      <c r="O1" s="5"/>
      <c r="P1" s="5"/>
      <c r="Q1" s="5"/>
      <c r="R1" s="5"/>
      <c r="S1" s="6"/>
      <c r="T1" s="7"/>
      <c r="U1" s="8"/>
      <c r="V1" s="8"/>
      <c r="W1" s="8"/>
      <c r="X1" s="8"/>
      <c r="Y1" s="8"/>
      <c r="Z1" s="8"/>
      <c r="AA1" s="8"/>
      <c r="AB1" s="8"/>
      <c r="AC1" s="8"/>
      <c r="AD1" s="8"/>
      <c r="AE1" s="8"/>
      <c r="AF1" s="8"/>
      <c r="AG1" s="8"/>
      <c r="AH1" s="8"/>
      <c r="AI1" s="8"/>
      <c r="AJ1" s="8"/>
      <c r="AK1" s="8"/>
      <c r="AL1" s="8"/>
      <c r="AM1" s="8"/>
      <c r="AN1" s="8"/>
      <c r="AO1" s="8"/>
      <c r="AP1" s="8"/>
      <c r="AQ1" s="8"/>
      <c r="AR1" s="9"/>
      <c r="AS1" s="25"/>
      <c r="AT1" s="2"/>
      <c r="DS1"/>
      <c r="DT1"/>
      <c r="DU1"/>
    </row>
    <row r="2" spans="1:125" ht="13.5" customHeight="1" thickBot="1" x14ac:dyDescent="0.2">
      <c r="A2" s="637" t="str">
        <f>"WATER BOILING TEST - VERSION "&amp;version&amp;" - TEST #8"</f>
        <v>WATER BOILING TEST - VERSION 4.2.3 - TEST #8</v>
      </c>
      <c r="B2" s="637"/>
      <c r="C2" s="637"/>
      <c r="D2" s="637"/>
      <c r="E2" s="637"/>
      <c r="F2" s="637"/>
      <c r="G2" s="637"/>
      <c r="H2" s="637"/>
      <c r="I2" s="637"/>
      <c r="J2" s="637"/>
      <c r="K2" s="637"/>
      <c r="L2" s="637"/>
      <c r="M2" s="637"/>
      <c r="N2" s="637"/>
      <c r="O2" s="637"/>
      <c r="P2" s="637"/>
      <c r="Q2" s="637"/>
      <c r="R2" s="637"/>
      <c r="S2" s="637"/>
      <c r="T2" s="10"/>
      <c r="U2" s="255" t="str">
        <f>"TEST #8 "&amp;D7</f>
        <v xml:space="preserve">TEST #8 </v>
      </c>
      <c r="V2" s="11"/>
      <c r="W2" s="638" t="s">
        <v>0</v>
      </c>
      <c r="X2" s="638"/>
      <c r="Y2" s="638"/>
      <c r="Z2" s="638"/>
      <c r="AA2" s="638"/>
      <c r="AB2" s="638"/>
      <c r="AC2" s="256"/>
      <c r="AD2" s="12"/>
      <c r="AE2" s="638" t="s">
        <v>1</v>
      </c>
      <c r="AF2" s="638"/>
      <c r="AG2" s="638"/>
      <c r="AH2" s="638"/>
      <c r="AI2" s="638"/>
      <c r="AJ2" s="638"/>
      <c r="AK2" s="13"/>
      <c r="AL2" s="638" t="s">
        <v>2</v>
      </c>
      <c r="AM2" s="638"/>
      <c r="AN2" s="638"/>
      <c r="AO2" s="638"/>
      <c r="AP2" s="638"/>
      <c r="AQ2" s="638"/>
      <c r="AR2" s="14"/>
    </row>
    <row r="3" spans="1:125" ht="12.75" customHeight="1" x14ac:dyDescent="0.15">
      <c r="A3" s="16"/>
      <c r="B3" s="17" t="s">
        <v>748</v>
      </c>
      <c r="C3" s="17"/>
      <c r="D3" s="17"/>
      <c r="E3" s="17"/>
      <c r="F3" s="17"/>
      <c r="G3" s="17"/>
      <c r="H3" s="17"/>
      <c r="I3" s="17"/>
      <c r="J3" s="17"/>
      <c r="K3" s="17"/>
      <c r="L3" s="17"/>
      <c r="M3" s="17"/>
      <c r="N3" s="17"/>
      <c r="O3" s="17"/>
      <c r="P3" s="17"/>
      <c r="Q3" s="17"/>
      <c r="R3" s="17"/>
      <c r="S3" s="18"/>
      <c r="T3" s="19"/>
      <c r="U3" s="20"/>
      <c r="V3" s="21"/>
      <c r="W3" s="641" t="s">
        <v>3</v>
      </c>
      <c r="X3" s="641"/>
      <c r="Y3" s="23"/>
      <c r="Z3" s="13"/>
      <c r="AA3" s="642" t="s">
        <v>4</v>
      </c>
      <c r="AB3" s="642"/>
      <c r="AC3" s="24"/>
      <c r="AD3" s="12"/>
      <c r="AE3" s="643" t="s">
        <v>3</v>
      </c>
      <c r="AF3" s="643"/>
      <c r="AG3" s="23"/>
      <c r="AH3" s="13"/>
      <c r="AI3" s="642" t="s">
        <v>4</v>
      </c>
      <c r="AJ3" s="642"/>
      <c r="AK3" s="12"/>
      <c r="AL3" s="639" t="s">
        <v>3</v>
      </c>
      <c r="AM3" s="639"/>
      <c r="AN3" s="23"/>
      <c r="AO3" s="13"/>
      <c r="AP3" s="640" t="s">
        <v>5</v>
      </c>
      <c r="AQ3" s="640"/>
      <c r="AR3" s="14"/>
    </row>
    <row r="4" spans="1:125" ht="12.75" customHeight="1" x14ac:dyDescent="0.15">
      <c r="A4" s="25"/>
      <c r="B4" s="26" t="s">
        <v>749</v>
      </c>
      <c r="C4" s="26"/>
      <c r="D4" s="26"/>
      <c r="E4" s="26"/>
      <c r="F4" s="26"/>
      <c r="G4" s="26"/>
      <c r="H4" s="26"/>
      <c r="I4" s="26"/>
      <c r="J4" s="27"/>
      <c r="K4" s="27"/>
      <c r="L4" s="27"/>
      <c r="M4" s="27"/>
      <c r="N4" s="27"/>
      <c r="O4" s="27"/>
      <c r="P4" s="27"/>
      <c r="Q4" s="27"/>
      <c r="R4" s="27"/>
      <c r="S4" s="15"/>
      <c r="T4" s="28"/>
      <c r="U4" s="29"/>
      <c r="V4" s="30"/>
      <c r="W4" s="31"/>
      <c r="X4" s="31"/>
      <c r="Y4" s="32"/>
      <c r="Z4" s="33"/>
      <c r="AA4" s="631" t="s">
        <v>6</v>
      </c>
      <c r="AB4" s="631"/>
      <c r="AC4" s="24"/>
      <c r="AD4" s="12"/>
      <c r="AE4" s="31"/>
      <c r="AF4" s="31"/>
      <c r="AG4" s="32"/>
      <c r="AH4" s="33"/>
      <c r="AI4" s="631" t="s">
        <v>6</v>
      </c>
      <c r="AJ4" s="631"/>
      <c r="AK4" s="12"/>
      <c r="AL4" s="633"/>
      <c r="AM4" s="633"/>
      <c r="AN4" s="34"/>
      <c r="AO4" s="31"/>
      <c r="AP4" s="644"/>
      <c r="AQ4" s="644"/>
      <c r="AR4" s="14"/>
    </row>
    <row r="5" spans="1:125" ht="13.5" customHeight="1" thickBot="1" x14ac:dyDescent="0.2">
      <c r="A5" s="25"/>
      <c r="B5" s="35" t="s">
        <v>7</v>
      </c>
      <c r="D5" s="2"/>
      <c r="E5" s="2"/>
      <c r="F5" s="2"/>
      <c r="G5" s="2"/>
      <c r="S5" s="15"/>
      <c r="T5" s="28"/>
      <c r="U5" s="36" t="s">
        <v>8</v>
      </c>
      <c r="V5" s="37" t="s">
        <v>9</v>
      </c>
      <c r="W5" s="38" t="s">
        <v>10</v>
      </c>
      <c r="X5" s="38" t="s">
        <v>11</v>
      </c>
      <c r="Y5" s="39"/>
      <c r="Z5" s="38"/>
      <c r="AA5" s="38" t="s">
        <v>10</v>
      </c>
      <c r="AB5" s="37" t="s">
        <v>11</v>
      </c>
      <c r="AC5" s="24"/>
      <c r="AD5" s="12"/>
      <c r="AE5" s="38" t="s">
        <v>10</v>
      </c>
      <c r="AF5" s="38" t="s">
        <v>11</v>
      </c>
      <c r="AG5" s="40"/>
      <c r="AH5" s="41"/>
      <c r="AI5" s="38" t="s">
        <v>10</v>
      </c>
      <c r="AJ5" s="37" t="s">
        <v>11</v>
      </c>
      <c r="AK5" s="12"/>
      <c r="AL5" s="38" t="s">
        <v>10</v>
      </c>
      <c r="AM5" s="38" t="s">
        <v>11</v>
      </c>
      <c r="AN5" s="40"/>
      <c r="AO5" s="41"/>
      <c r="AP5" s="38" t="s">
        <v>10</v>
      </c>
      <c r="AQ5" s="37" t="s">
        <v>11</v>
      </c>
      <c r="AR5" s="14"/>
    </row>
    <row r="6" spans="1:125" ht="15.75" customHeight="1" x14ac:dyDescent="0.2">
      <c r="A6" s="25"/>
      <c r="B6" s="2" t="s">
        <v>12</v>
      </c>
      <c r="D6" s="629"/>
      <c r="E6" s="629"/>
      <c r="F6" s="629"/>
      <c r="G6" s="629"/>
      <c r="H6" s="629"/>
      <c r="I6" s="629"/>
      <c r="J6" s="629"/>
      <c r="K6" s="629"/>
      <c r="M6" s="635" t="s">
        <v>834</v>
      </c>
      <c r="N6" s="635"/>
      <c r="O6" s="635"/>
      <c r="P6" s="635"/>
      <c r="Q6" s="265"/>
      <c r="R6" s="265"/>
      <c r="S6" s="15"/>
      <c r="T6" s="28"/>
      <c r="U6" s="30" t="s">
        <v>716</v>
      </c>
      <c r="V6" s="24" t="s">
        <v>13</v>
      </c>
      <c r="W6" s="42"/>
      <c r="X6" s="43" t="s">
        <v>14</v>
      </c>
      <c r="Y6" s="44"/>
      <c r="Z6" s="43"/>
      <c r="AA6" s="42"/>
      <c r="AB6" s="45" t="s">
        <v>15</v>
      </c>
      <c r="AC6" s="45"/>
      <c r="AD6" s="12"/>
      <c r="AE6" s="42"/>
      <c r="AF6" s="43" t="s">
        <v>16</v>
      </c>
      <c r="AG6" s="46"/>
      <c r="AH6" s="13"/>
      <c r="AI6" s="42"/>
      <c r="AJ6" s="45" t="s">
        <v>17</v>
      </c>
      <c r="AK6" s="12"/>
      <c r="AL6" s="42"/>
      <c r="AM6" s="43" t="s">
        <v>18</v>
      </c>
      <c r="AN6" s="46"/>
      <c r="AO6" s="13"/>
      <c r="AP6" s="42"/>
      <c r="AQ6" s="45" t="s">
        <v>19</v>
      </c>
      <c r="AR6" s="14"/>
    </row>
    <row r="7" spans="1:125" ht="15.75" customHeight="1" x14ac:dyDescent="0.2">
      <c r="A7" s="25"/>
      <c r="B7" s="2" t="s">
        <v>27</v>
      </c>
      <c r="D7" s="629"/>
      <c r="E7" s="629"/>
      <c r="F7" s="629"/>
      <c r="G7" s="629"/>
      <c r="H7" s="629"/>
      <c r="I7" s="629"/>
      <c r="J7" s="629"/>
      <c r="K7" s="629"/>
      <c r="M7" s="663" t="s">
        <v>969</v>
      </c>
      <c r="N7" s="663"/>
      <c r="O7" s="663"/>
      <c r="P7" s="663"/>
      <c r="Q7" s="265"/>
      <c r="R7" s="265"/>
      <c r="S7" s="15"/>
      <c r="T7" s="28"/>
      <c r="U7" s="30" t="s">
        <v>873</v>
      </c>
      <c r="V7" s="24" t="s">
        <v>20</v>
      </c>
      <c r="W7" s="47"/>
      <c r="X7" s="43" t="s">
        <v>21</v>
      </c>
      <c r="Y7" s="44"/>
      <c r="Z7" s="43"/>
      <c r="AA7" s="47"/>
      <c r="AB7" s="45" t="s">
        <v>22</v>
      </c>
      <c r="AC7" s="45"/>
      <c r="AD7" s="12"/>
      <c r="AE7" s="47"/>
      <c r="AF7" s="43" t="s">
        <v>23</v>
      </c>
      <c r="AG7" s="46"/>
      <c r="AH7" s="13"/>
      <c r="AI7" s="47"/>
      <c r="AJ7" s="45" t="s">
        <v>24</v>
      </c>
      <c r="AK7" s="12"/>
      <c r="AL7" s="47"/>
      <c r="AM7" s="43" t="s">
        <v>25</v>
      </c>
      <c r="AN7" s="46"/>
      <c r="AO7" s="13"/>
      <c r="AP7" s="47"/>
      <c r="AQ7" s="45" t="s">
        <v>26</v>
      </c>
      <c r="AR7" s="14"/>
    </row>
    <row r="8" spans="1:125" ht="15.75" customHeight="1" x14ac:dyDescent="0.2">
      <c r="A8" s="25"/>
      <c r="B8" s="2" t="s">
        <v>36</v>
      </c>
      <c r="D8" s="628"/>
      <c r="E8" s="629"/>
      <c r="F8" s="629"/>
      <c r="G8" s="629"/>
      <c r="H8" s="629"/>
      <c r="I8" s="629"/>
      <c r="J8" s="629"/>
      <c r="K8" s="629"/>
      <c r="M8" s="656" t="s">
        <v>953</v>
      </c>
      <c r="N8" s="656"/>
      <c r="O8" s="656"/>
      <c r="P8" s="656"/>
      <c r="Q8" s="265"/>
      <c r="R8" s="265"/>
      <c r="S8" s="15"/>
      <c r="T8" s="28"/>
      <c r="U8" s="30" t="s">
        <v>28</v>
      </c>
      <c r="V8" s="24" t="s">
        <v>29</v>
      </c>
      <c r="W8" s="48"/>
      <c r="X8" s="49" t="s">
        <v>30</v>
      </c>
      <c r="Y8" s="50"/>
      <c r="Z8" s="49"/>
      <c r="AA8" s="48"/>
      <c r="AB8" s="51" t="s">
        <v>31</v>
      </c>
      <c r="AC8" s="51"/>
      <c r="AD8" s="52"/>
      <c r="AE8" s="48"/>
      <c r="AF8" s="49" t="s">
        <v>32</v>
      </c>
      <c r="AG8" s="53"/>
      <c r="AH8" s="54"/>
      <c r="AI8" s="48"/>
      <c r="AJ8" s="45" t="s">
        <v>33</v>
      </c>
      <c r="AK8" s="12"/>
      <c r="AL8" s="48"/>
      <c r="AM8" s="43" t="s">
        <v>34</v>
      </c>
      <c r="AN8" s="46"/>
      <c r="AO8" s="13"/>
      <c r="AP8" s="48"/>
      <c r="AQ8" s="45" t="s">
        <v>35</v>
      </c>
      <c r="AR8" s="14"/>
    </row>
    <row r="9" spans="1:125" ht="15.75" customHeight="1" x14ac:dyDescent="0.2">
      <c r="A9" s="25"/>
      <c r="B9" s="2" t="s">
        <v>50</v>
      </c>
      <c r="D9" s="630">
        <f>'General Information'!C7</f>
        <v>0</v>
      </c>
      <c r="E9" s="630"/>
      <c r="F9" s="630"/>
      <c r="G9" s="630"/>
      <c r="H9" s="630"/>
      <c r="I9" s="630"/>
      <c r="J9" s="630"/>
      <c r="K9" s="630"/>
      <c r="M9" s="265"/>
      <c r="N9" s="265"/>
      <c r="O9" s="265"/>
      <c r="P9" s="265"/>
      <c r="Q9" s="265"/>
      <c r="R9" s="265"/>
      <c r="S9" s="15"/>
      <c r="T9" s="28"/>
      <c r="U9" s="55" t="s">
        <v>37</v>
      </c>
      <c r="V9" s="24" t="s">
        <v>29</v>
      </c>
      <c r="W9" s="48"/>
      <c r="X9" s="49" t="s">
        <v>185</v>
      </c>
      <c r="Y9" s="50"/>
      <c r="Z9" s="49"/>
      <c r="AA9" s="48"/>
      <c r="AB9" s="51" t="s">
        <v>38</v>
      </c>
      <c r="AC9" s="51"/>
      <c r="AD9" s="52"/>
      <c r="AE9" s="48"/>
      <c r="AF9" s="49" t="s">
        <v>39</v>
      </c>
      <c r="AG9" s="53"/>
      <c r="AH9" s="54"/>
      <c r="AI9" s="48"/>
      <c r="AJ9" s="45" t="s">
        <v>40</v>
      </c>
      <c r="AK9" s="12"/>
      <c r="AL9" s="48"/>
      <c r="AM9" s="56" t="s">
        <v>41</v>
      </c>
      <c r="AN9" s="57"/>
      <c r="AO9" s="58"/>
      <c r="AP9" s="48"/>
      <c r="AQ9" s="59" t="s">
        <v>42</v>
      </c>
      <c r="AR9" s="14"/>
    </row>
    <row r="10" spans="1:125" ht="15.75" customHeight="1" x14ac:dyDescent="0.2">
      <c r="A10" s="25"/>
      <c r="B10" s="2" t="s">
        <v>43</v>
      </c>
      <c r="D10" s="632">
        <f>'General Information'!C10</f>
        <v>0</v>
      </c>
      <c r="E10" s="632"/>
      <c r="F10" s="632"/>
      <c r="G10" s="632"/>
      <c r="H10" s="632"/>
      <c r="I10" s="632"/>
      <c r="J10" s="632"/>
      <c r="K10" s="632"/>
      <c r="S10" s="15"/>
      <c r="T10" s="28"/>
      <c r="U10" s="55" t="s">
        <v>44</v>
      </c>
      <c r="V10" s="24" t="s">
        <v>29</v>
      </c>
      <c r="W10" s="48"/>
      <c r="X10" s="49" t="s">
        <v>186</v>
      </c>
      <c r="Y10" s="50"/>
      <c r="Z10" s="49"/>
      <c r="AA10" s="48"/>
      <c r="AB10" s="51" t="s">
        <v>45</v>
      </c>
      <c r="AC10" s="51"/>
      <c r="AD10" s="52"/>
      <c r="AE10" s="48"/>
      <c r="AF10" s="49" t="s">
        <v>46</v>
      </c>
      <c r="AG10" s="53"/>
      <c r="AH10" s="54"/>
      <c r="AI10" s="48"/>
      <c r="AJ10" s="45" t="s">
        <v>47</v>
      </c>
      <c r="AK10" s="12"/>
      <c r="AL10" s="48"/>
      <c r="AM10" s="56" t="s">
        <v>48</v>
      </c>
      <c r="AN10" s="57"/>
      <c r="AO10" s="58"/>
      <c r="AP10" s="48"/>
      <c r="AQ10" s="59" t="s">
        <v>49</v>
      </c>
      <c r="AR10" s="14"/>
    </row>
    <row r="11" spans="1:125" ht="15.75" customHeight="1" x14ac:dyDescent="0.2">
      <c r="A11" s="25"/>
      <c r="B11" s="2" t="s">
        <v>58</v>
      </c>
      <c r="D11" s="645">
        <f>'General Information'!J3</f>
        <v>0</v>
      </c>
      <c r="E11" s="645"/>
      <c r="F11" s="645"/>
      <c r="G11" s="645"/>
      <c r="H11" s="645"/>
      <c r="I11" s="645"/>
      <c r="J11" s="645"/>
      <c r="K11" s="645"/>
      <c r="S11" s="15"/>
      <c r="T11" s="28"/>
      <c r="U11" s="55" t="s">
        <v>51</v>
      </c>
      <c r="V11" s="24" t="s">
        <v>29</v>
      </c>
      <c r="W11" s="48"/>
      <c r="X11" s="49" t="s">
        <v>52</v>
      </c>
      <c r="Y11" s="50"/>
      <c r="Z11" s="49"/>
      <c r="AA11" s="48"/>
      <c r="AB11" s="51" t="s">
        <v>53</v>
      </c>
      <c r="AC11" s="51"/>
      <c r="AD11" s="52"/>
      <c r="AE11" s="48"/>
      <c r="AF11" s="49" t="s">
        <v>54</v>
      </c>
      <c r="AG11" s="53"/>
      <c r="AH11" s="54"/>
      <c r="AI11" s="48"/>
      <c r="AJ11" s="45" t="s">
        <v>55</v>
      </c>
      <c r="AK11" s="12"/>
      <c r="AL11" s="48"/>
      <c r="AM11" s="56" t="s">
        <v>56</v>
      </c>
      <c r="AN11" s="57"/>
      <c r="AO11" s="58"/>
      <c r="AP11" s="48"/>
      <c r="AQ11" s="59" t="s">
        <v>57</v>
      </c>
      <c r="AR11" s="14"/>
    </row>
    <row r="12" spans="1:125" ht="15.75" customHeight="1" x14ac:dyDescent="0.2">
      <c r="A12" s="25"/>
      <c r="B12" s="2"/>
      <c r="D12" s="60"/>
      <c r="E12" s="60"/>
      <c r="F12" s="60"/>
      <c r="G12" s="60"/>
      <c r="H12" s="60"/>
      <c r="I12" s="60"/>
      <c r="J12" s="60"/>
      <c r="S12" s="15"/>
      <c r="T12" s="28"/>
      <c r="U12" s="30" t="s">
        <v>59</v>
      </c>
      <c r="V12" s="24" t="s">
        <v>20</v>
      </c>
      <c r="W12" s="47"/>
      <c r="X12" s="43" t="s">
        <v>60</v>
      </c>
      <c r="Y12" s="44"/>
      <c r="Z12" s="43"/>
      <c r="AA12" s="47"/>
      <c r="AB12" s="45" t="s">
        <v>61</v>
      </c>
      <c r="AC12" s="45"/>
      <c r="AD12" s="12"/>
      <c r="AE12" s="47"/>
      <c r="AF12" s="43" t="s">
        <v>62</v>
      </c>
      <c r="AG12" s="46"/>
      <c r="AH12" s="13"/>
      <c r="AI12" s="47"/>
      <c r="AJ12" s="45" t="s">
        <v>63</v>
      </c>
      <c r="AK12" s="12"/>
      <c r="AL12" s="47"/>
      <c r="AM12" s="56" t="s">
        <v>64</v>
      </c>
      <c r="AN12" s="57"/>
      <c r="AO12" s="61"/>
      <c r="AP12" s="47"/>
      <c r="AQ12" s="59" t="s">
        <v>65</v>
      </c>
      <c r="AR12" s="14"/>
    </row>
    <row r="13" spans="1:125" ht="15.75" customHeight="1" thickBot="1" x14ac:dyDescent="0.25">
      <c r="A13" s="25"/>
      <c r="B13" s="62" t="s">
        <v>80</v>
      </c>
      <c r="C13" s="63"/>
      <c r="D13" s="64"/>
      <c r="E13" s="65"/>
      <c r="F13" s="64"/>
      <c r="G13" s="64"/>
      <c r="H13" s="64"/>
      <c r="I13" s="64"/>
      <c r="J13" s="64"/>
      <c r="K13" s="66"/>
      <c r="L13" s="66"/>
      <c r="M13" s="66"/>
      <c r="N13" s="66"/>
      <c r="O13" s="66"/>
      <c r="P13" s="66"/>
      <c r="Q13" s="66"/>
      <c r="R13" s="66"/>
      <c r="S13" s="15"/>
      <c r="T13" s="28"/>
      <c r="U13" s="55" t="s">
        <v>66</v>
      </c>
      <c r="V13" s="24" t="s">
        <v>20</v>
      </c>
      <c r="W13" s="47"/>
      <c r="X13" s="43" t="s">
        <v>67</v>
      </c>
      <c r="Y13" s="44"/>
      <c r="Z13" s="43"/>
      <c r="AA13" s="47"/>
      <c r="AB13" s="45" t="s">
        <v>68</v>
      </c>
      <c r="AC13" s="45"/>
      <c r="AD13" s="12"/>
      <c r="AE13" s="47"/>
      <c r="AF13" s="43" t="s">
        <v>69</v>
      </c>
      <c r="AG13" s="46"/>
      <c r="AH13" s="13"/>
      <c r="AI13" s="47"/>
      <c r="AJ13" s="45" t="s">
        <v>70</v>
      </c>
      <c r="AK13" s="12"/>
      <c r="AL13" s="47"/>
      <c r="AM13" s="56" t="s">
        <v>71</v>
      </c>
      <c r="AN13" s="57"/>
      <c r="AO13" s="58"/>
      <c r="AP13" s="47"/>
      <c r="AQ13" s="59" t="s">
        <v>72</v>
      </c>
      <c r="AR13" s="14"/>
    </row>
    <row r="14" spans="1:125" ht="15.75" customHeight="1" x14ac:dyDescent="0.2">
      <c r="A14" s="25"/>
      <c r="B14" s="624" t="s">
        <v>88</v>
      </c>
      <c r="C14" s="624"/>
      <c r="D14" s="624"/>
      <c r="E14" s="67" t="s">
        <v>89</v>
      </c>
      <c r="F14" s="67"/>
      <c r="G14" s="67" t="s">
        <v>90</v>
      </c>
      <c r="H14" s="68"/>
      <c r="I14" s="69" t="s">
        <v>11</v>
      </c>
      <c r="J14" s="68"/>
      <c r="K14" s="68" t="s">
        <v>88</v>
      </c>
      <c r="L14" s="68"/>
      <c r="M14" s="68"/>
      <c r="N14" s="67" t="s">
        <v>89</v>
      </c>
      <c r="O14" s="67"/>
      <c r="P14" s="68" t="s">
        <v>90</v>
      </c>
      <c r="Q14" s="68"/>
      <c r="R14" s="69" t="s">
        <v>11</v>
      </c>
      <c r="S14" s="15"/>
      <c r="T14" s="28"/>
      <c r="U14" s="55" t="s">
        <v>73</v>
      </c>
      <c r="V14" s="24" t="s">
        <v>20</v>
      </c>
      <c r="W14" s="47"/>
      <c r="X14" s="43" t="s">
        <v>74</v>
      </c>
      <c r="Y14" s="44"/>
      <c r="Z14" s="43"/>
      <c r="AA14" s="47"/>
      <c r="AB14" s="45" t="s">
        <v>75</v>
      </c>
      <c r="AC14" s="45"/>
      <c r="AD14" s="12"/>
      <c r="AE14" s="47"/>
      <c r="AF14" s="43" t="s">
        <v>76</v>
      </c>
      <c r="AG14" s="46"/>
      <c r="AH14" s="13"/>
      <c r="AI14" s="47"/>
      <c r="AJ14" s="45" t="s">
        <v>77</v>
      </c>
      <c r="AK14" s="12"/>
      <c r="AL14" s="47"/>
      <c r="AM14" s="56" t="s">
        <v>78</v>
      </c>
      <c r="AN14" s="57"/>
      <c r="AO14" s="58"/>
      <c r="AP14" s="47"/>
      <c r="AQ14" s="59" t="s">
        <v>79</v>
      </c>
      <c r="AR14" s="14"/>
    </row>
    <row r="15" spans="1:125" ht="15.75" customHeight="1" x14ac:dyDescent="0.2">
      <c r="A15" s="25"/>
      <c r="B15" s="623" t="s">
        <v>702</v>
      </c>
      <c r="C15" s="623"/>
      <c r="D15" s="623"/>
      <c r="E15" s="73"/>
      <c r="F15" s="74"/>
      <c r="G15" s="2" t="s">
        <v>29</v>
      </c>
      <c r="J15" s="75"/>
      <c r="K15" s="623" t="s">
        <v>93</v>
      </c>
      <c r="L15" s="623"/>
      <c r="M15" s="623"/>
      <c r="N15" s="196"/>
      <c r="O15" s="74"/>
      <c r="P15" s="22" t="s">
        <v>20</v>
      </c>
      <c r="R15" s="43" t="s">
        <v>94</v>
      </c>
      <c r="S15" s="15"/>
      <c r="T15" s="28"/>
      <c r="U15" s="55" t="s">
        <v>81</v>
      </c>
      <c r="V15" s="24" t="s">
        <v>20</v>
      </c>
      <c r="W15" s="47"/>
      <c r="X15" s="43" t="s">
        <v>82</v>
      </c>
      <c r="Y15" s="44"/>
      <c r="Z15" s="43"/>
      <c r="AA15" s="47"/>
      <c r="AB15" s="45" t="s">
        <v>83</v>
      </c>
      <c r="AC15" s="45"/>
      <c r="AD15" s="12"/>
      <c r="AE15" s="47"/>
      <c r="AF15" s="43" t="s">
        <v>84</v>
      </c>
      <c r="AG15" s="46"/>
      <c r="AH15" s="13"/>
      <c r="AI15" s="47"/>
      <c r="AJ15" s="45" t="s">
        <v>85</v>
      </c>
      <c r="AK15" s="12"/>
      <c r="AL15" s="47"/>
      <c r="AM15" s="56" t="s">
        <v>86</v>
      </c>
      <c r="AN15" s="57"/>
      <c r="AO15" s="58"/>
      <c r="AP15" s="47"/>
      <c r="AQ15" s="59" t="s">
        <v>87</v>
      </c>
      <c r="AR15" s="14"/>
    </row>
    <row r="16" spans="1:125" ht="15.75" customHeight="1" x14ac:dyDescent="0.15">
      <c r="A16" s="25"/>
      <c r="B16" s="623" t="s">
        <v>722</v>
      </c>
      <c r="C16" s="623"/>
      <c r="D16" s="623"/>
      <c r="E16" s="74">
        <v>1</v>
      </c>
      <c r="F16" s="74"/>
      <c r="G16" s="2"/>
      <c r="J16" s="75"/>
      <c r="K16" s="623" t="s">
        <v>99</v>
      </c>
      <c r="L16" s="623"/>
      <c r="M16" s="623"/>
      <c r="N16" s="196"/>
      <c r="O16" s="74"/>
      <c r="P16" s="22" t="s">
        <v>20</v>
      </c>
      <c r="R16" s="43" t="s">
        <v>100</v>
      </c>
      <c r="S16" s="15"/>
      <c r="T16" s="28"/>
      <c r="U16" s="55" t="s">
        <v>91</v>
      </c>
      <c r="V16" s="24" t="s">
        <v>92</v>
      </c>
      <c r="W16" s="626"/>
      <c r="X16" s="626"/>
      <c r="Y16" s="70"/>
      <c r="Z16" s="71"/>
      <c r="AA16" s="72"/>
      <c r="AB16" s="45"/>
      <c r="AC16" s="45"/>
      <c r="AD16" s="12"/>
      <c r="AE16" s="626"/>
      <c r="AF16" s="626"/>
      <c r="AG16" s="46"/>
      <c r="AH16" s="13"/>
      <c r="AI16" s="72"/>
      <c r="AJ16" s="21"/>
      <c r="AK16" s="12"/>
      <c r="AL16" s="626"/>
      <c r="AM16" s="626"/>
      <c r="AN16" s="46"/>
      <c r="AO16" s="13"/>
      <c r="AP16" s="13"/>
      <c r="AQ16" s="21"/>
      <c r="AR16" s="14"/>
    </row>
    <row r="17" spans="1:44" ht="15.75" customHeight="1" x14ac:dyDescent="0.2">
      <c r="A17" s="25"/>
      <c r="B17" s="1" t="s">
        <v>772</v>
      </c>
      <c r="E17" s="625"/>
      <c r="F17" s="625"/>
      <c r="G17" s="625"/>
      <c r="J17" s="75"/>
      <c r="K17" s="623" t="s">
        <v>104</v>
      </c>
      <c r="L17" s="623"/>
      <c r="M17" s="623"/>
      <c r="N17" s="196"/>
      <c r="O17" s="74"/>
      <c r="P17" s="22" t="s">
        <v>20</v>
      </c>
      <c r="R17" s="43" t="s">
        <v>105</v>
      </c>
      <c r="S17" s="15"/>
      <c r="T17" s="28"/>
      <c r="U17" s="30" t="s">
        <v>95</v>
      </c>
      <c r="V17" s="24" t="s">
        <v>20</v>
      </c>
      <c r="W17" s="76"/>
      <c r="X17" s="2"/>
      <c r="Y17" s="77"/>
      <c r="Z17" s="2"/>
      <c r="AA17" s="47"/>
      <c r="AB17" s="45" t="s">
        <v>96</v>
      </c>
      <c r="AC17" s="45"/>
      <c r="AD17" s="12"/>
      <c r="AE17" s="76"/>
      <c r="AF17" s="43"/>
      <c r="AG17" s="46"/>
      <c r="AH17" s="13"/>
      <c r="AI17" s="78">
        <f>AA17</f>
        <v>0</v>
      </c>
      <c r="AJ17" s="45" t="s">
        <v>97</v>
      </c>
      <c r="AK17" s="12"/>
      <c r="AL17" s="2"/>
      <c r="AM17" s="43"/>
      <c r="AN17" s="46"/>
      <c r="AO17" s="13"/>
      <c r="AP17" s="47"/>
      <c r="AQ17" s="45" t="s">
        <v>98</v>
      </c>
      <c r="AR17" s="14"/>
    </row>
    <row r="18" spans="1:44" ht="15" customHeight="1" x14ac:dyDescent="0.2">
      <c r="A18" s="25"/>
      <c r="B18" s="623" t="s">
        <v>815</v>
      </c>
      <c r="C18" s="623"/>
      <c r="D18" s="623"/>
      <c r="E18" s="241"/>
      <c r="F18" s="87"/>
      <c r="G18" s="2" t="s">
        <v>113</v>
      </c>
      <c r="I18" s="22" t="s">
        <v>929</v>
      </c>
      <c r="J18" s="75"/>
      <c r="K18" s="623" t="s">
        <v>108</v>
      </c>
      <c r="L18" s="623"/>
      <c r="M18" s="623"/>
      <c r="N18" s="196"/>
      <c r="O18" s="74"/>
      <c r="P18" s="22" t="s">
        <v>20</v>
      </c>
      <c r="R18" s="43" t="s">
        <v>109</v>
      </c>
      <c r="S18" s="15"/>
      <c r="T18" s="28"/>
      <c r="U18" s="30" t="s">
        <v>791</v>
      </c>
      <c r="V18" s="24" t="s">
        <v>781</v>
      </c>
      <c r="W18" s="76"/>
      <c r="X18" s="2"/>
      <c r="Y18" s="77"/>
      <c r="Z18" s="2"/>
      <c r="AA18" s="398"/>
      <c r="AB18" s="45" t="s">
        <v>793</v>
      </c>
      <c r="AC18" s="45"/>
      <c r="AD18" s="12"/>
      <c r="AE18" s="76"/>
      <c r="AF18" s="43"/>
      <c r="AG18" s="46"/>
      <c r="AH18" s="13"/>
      <c r="AI18" s="398"/>
      <c r="AJ18" s="45" t="s">
        <v>796</v>
      </c>
      <c r="AK18" s="12"/>
      <c r="AL18" s="2"/>
      <c r="AM18" s="43"/>
      <c r="AN18" s="46"/>
      <c r="AO18" s="13"/>
      <c r="AP18" s="398"/>
      <c r="AQ18" s="45" t="s">
        <v>799</v>
      </c>
      <c r="AR18" s="14"/>
    </row>
    <row r="19" spans="1:44" ht="15" customHeight="1" x14ac:dyDescent="0.2">
      <c r="A19" s="25"/>
      <c r="B19" s="623" t="s">
        <v>101</v>
      </c>
      <c r="C19" s="623"/>
      <c r="D19" s="623"/>
      <c r="E19" s="83">
        <f>'General Information'!L21</f>
        <v>0</v>
      </c>
      <c r="F19" s="84"/>
      <c r="G19" s="2" t="s">
        <v>102</v>
      </c>
      <c r="I19" s="22" t="s">
        <v>103</v>
      </c>
      <c r="J19" s="75"/>
      <c r="K19" s="623" t="s">
        <v>114</v>
      </c>
      <c r="L19" s="623"/>
      <c r="M19" s="623"/>
      <c r="N19" s="196"/>
      <c r="O19" s="74"/>
      <c r="P19" s="22" t="s">
        <v>20</v>
      </c>
      <c r="R19" s="43" t="s">
        <v>115</v>
      </c>
      <c r="S19" s="15"/>
      <c r="T19" s="10"/>
      <c r="U19" s="251" t="s">
        <v>792</v>
      </c>
      <c r="V19" s="24" t="s">
        <v>781</v>
      </c>
      <c r="W19" s="76"/>
      <c r="X19" s="2"/>
      <c r="Y19" s="77"/>
      <c r="Z19" s="2">
        <v>10</v>
      </c>
      <c r="AA19" s="398"/>
      <c r="AB19" s="45" t="s">
        <v>794</v>
      </c>
      <c r="AC19" s="45"/>
      <c r="AD19" s="12"/>
      <c r="AE19" s="76"/>
      <c r="AF19" s="43"/>
      <c r="AG19" s="46"/>
      <c r="AH19" s="13"/>
      <c r="AI19" s="398"/>
      <c r="AJ19" s="45" t="s">
        <v>797</v>
      </c>
      <c r="AK19" s="12"/>
      <c r="AL19" s="2"/>
      <c r="AM19" s="43"/>
      <c r="AN19" s="46"/>
      <c r="AO19" s="13"/>
      <c r="AP19" s="398"/>
      <c r="AQ19" s="45" t="s">
        <v>800</v>
      </c>
      <c r="AR19" s="14"/>
    </row>
    <row r="20" spans="1:44" ht="15" customHeight="1" x14ac:dyDescent="0.2">
      <c r="A20" s="25"/>
      <c r="B20" s="623" t="s">
        <v>106</v>
      </c>
      <c r="C20" s="623"/>
      <c r="D20" s="623"/>
      <c r="E20" s="85">
        <f>'General Information'!L22</f>
        <v>0</v>
      </c>
      <c r="F20" s="84"/>
      <c r="G20" s="2" t="s">
        <v>102</v>
      </c>
      <c r="I20" s="22" t="s">
        <v>107</v>
      </c>
      <c r="J20" s="75"/>
      <c r="K20" s="623" t="s">
        <v>117</v>
      </c>
      <c r="L20" s="623"/>
      <c r="M20" s="623"/>
      <c r="N20" s="195">
        <f>'General Information'!C20</f>
        <v>0</v>
      </c>
      <c r="O20" s="74"/>
      <c r="P20" s="22" t="s">
        <v>29</v>
      </c>
      <c r="R20" s="43" t="s">
        <v>118</v>
      </c>
      <c r="S20" s="15"/>
      <c r="T20" s="10"/>
      <c r="U20" s="251" t="s">
        <v>789</v>
      </c>
      <c r="V20" s="24" t="s">
        <v>790</v>
      </c>
      <c r="W20" s="371"/>
      <c r="X20" s="372"/>
      <c r="Y20" s="374"/>
      <c r="Z20" s="372"/>
      <c r="AA20" s="399"/>
      <c r="AB20" s="45" t="s">
        <v>795</v>
      </c>
      <c r="AC20" s="45"/>
      <c r="AD20" s="82"/>
      <c r="AE20" s="371"/>
      <c r="AF20" s="372"/>
      <c r="AG20" s="383"/>
      <c r="AH20" s="369"/>
      <c r="AI20" s="399"/>
      <c r="AJ20" s="45" t="s">
        <v>798</v>
      </c>
      <c r="AK20" s="82"/>
      <c r="AL20" s="371"/>
      <c r="AM20" s="372"/>
      <c r="AN20" s="383"/>
      <c r="AO20" s="369"/>
      <c r="AP20" s="399"/>
      <c r="AQ20" s="45" t="s">
        <v>801</v>
      </c>
      <c r="AR20" s="14"/>
    </row>
    <row r="21" spans="1:44" ht="15" customHeight="1" x14ac:dyDescent="0.2">
      <c r="A21" s="25"/>
      <c r="B21" s="627" t="s">
        <v>783</v>
      </c>
      <c r="C21" s="627"/>
      <c r="D21" s="627"/>
      <c r="F21" s="87"/>
      <c r="I21" s="1"/>
      <c r="J21" s="75"/>
      <c r="K21" s="96" t="s">
        <v>780</v>
      </c>
      <c r="L21" s="43"/>
      <c r="M21" s="43"/>
      <c r="N21" s="454"/>
      <c r="O21" s="43"/>
      <c r="P21" s="43" t="s">
        <v>781</v>
      </c>
      <c r="Q21" s="43"/>
      <c r="R21" s="43" t="s">
        <v>786</v>
      </c>
      <c r="S21" s="15"/>
      <c r="T21" s="10"/>
      <c r="U21" s="436" t="s">
        <v>943</v>
      </c>
      <c r="V21" s="437" t="s">
        <v>29</v>
      </c>
      <c r="W21" s="373"/>
      <c r="X21" s="372"/>
      <c r="Y21" s="372"/>
      <c r="Z21" s="438"/>
      <c r="AA21" s="458"/>
      <c r="AB21" s="439" t="s">
        <v>944</v>
      </c>
      <c r="AC21" s="45"/>
      <c r="AD21" s="82"/>
      <c r="AE21" s="440"/>
      <c r="AF21" s="372"/>
      <c r="AG21" s="372"/>
      <c r="AH21" s="441"/>
      <c r="AI21" s="458"/>
      <c r="AJ21" s="439" t="s">
        <v>945</v>
      </c>
      <c r="AK21" s="369"/>
      <c r="AL21" s="440"/>
      <c r="AM21" s="372"/>
      <c r="AN21" s="374"/>
      <c r="AO21" s="372"/>
      <c r="AP21" s="458"/>
      <c r="AQ21" s="439" t="s">
        <v>946</v>
      </c>
      <c r="AR21" s="14"/>
    </row>
    <row r="22" spans="1:44" ht="15" customHeight="1" x14ac:dyDescent="0.15">
      <c r="A22" s="25"/>
      <c r="B22" s="250" t="s">
        <v>782</v>
      </c>
      <c r="C22" s="243"/>
      <c r="D22" s="243"/>
      <c r="E22" s="83">
        <f>E20*(1-E18)-(E18*((N20-E15)*4.2+2260))</f>
        <v>0</v>
      </c>
      <c r="F22" s="87"/>
      <c r="G22" s="2" t="s">
        <v>102</v>
      </c>
      <c r="I22" s="22" t="s">
        <v>928</v>
      </c>
      <c r="J22" s="75"/>
      <c r="K22" s="96"/>
      <c r="L22" s="43"/>
      <c r="M22" s="244" t="s">
        <v>784</v>
      </c>
      <c r="N22" s="454"/>
      <c r="O22" s="43"/>
      <c r="P22" s="43" t="s">
        <v>781</v>
      </c>
      <c r="Q22" s="43"/>
      <c r="R22" s="43" t="s">
        <v>787</v>
      </c>
      <c r="S22" s="15"/>
      <c r="T22" s="10"/>
      <c r="U22" s="251" t="s">
        <v>954</v>
      </c>
      <c r="V22" s="24" t="s">
        <v>20</v>
      </c>
      <c r="W22" s="76"/>
      <c r="X22" s="2"/>
      <c r="Y22" s="77"/>
      <c r="Z22" s="2"/>
      <c r="AA22" s="398"/>
      <c r="AB22" s="389" t="s">
        <v>914</v>
      </c>
      <c r="AC22" s="45"/>
      <c r="AD22" s="12"/>
      <c r="AE22" s="76"/>
      <c r="AF22" s="43"/>
      <c r="AG22" s="46"/>
      <c r="AH22" s="13"/>
      <c r="AI22" s="398"/>
      <c r="AJ22" s="451" t="s">
        <v>968</v>
      </c>
      <c r="AK22" s="21"/>
      <c r="AL22" s="2"/>
      <c r="AM22" s="43"/>
      <c r="AN22" s="46"/>
      <c r="AO22" s="13"/>
      <c r="AP22" s="398"/>
      <c r="AQ22" s="391" t="s">
        <v>916</v>
      </c>
      <c r="AR22" s="14"/>
    </row>
    <row r="23" spans="1:44" ht="15" customHeight="1" x14ac:dyDescent="0.15">
      <c r="A23" s="25"/>
      <c r="B23" s="622" t="s">
        <v>736</v>
      </c>
      <c r="C23" s="622"/>
      <c r="D23" s="622"/>
      <c r="E23" s="83">
        <f>'General Information'!L11</f>
        <v>0</v>
      </c>
      <c r="F23" s="2"/>
      <c r="G23" s="2" t="s">
        <v>102</v>
      </c>
      <c r="J23" s="75"/>
      <c r="K23" s="96"/>
      <c r="L23" s="43"/>
      <c r="M23" s="244" t="s">
        <v>785</v>
      </c>
      <c r="N23" s="454"/>
      <c r="O23" s="43"/>
      <c r="P23" s="43" t="s">
        <v>790</v>
      </c>
      <c r="Q23" s="43"/>
      <c r="R23" s="43" t="s">
        <v>788</v>
      </c>
      <c r="S23" s="15"/>
      <c r="T23" s="10"/>
      <c r="U23" s="251" t="s">
        <v>955</v>
      </c>
      <c r="V23" s="24" t="s">
        <v>20</v>
      </c>
      <c r="W23" s="76"/>
      <c r="X23" s="2"/>
      <c r="Y23" s="77"/>
      <c r="Z23" s="2">
        <v>10</v>
      </c>
      <c r="AA23" s="398"/>
      <c r="AB23" s="390" t="s">
        <v>911</v>
      </c>
      <c r="AC23" s="45"/>
      <c r="AD23" s="12"/>
      <c r="AE23" s="76"/>
      <c r="AF23" s="43"/>
      <c r="AG23" s="46"/>
      <c r="AH23" s="13"/>
      <c r="AI23" s="398"/>
      <c r="AJ23" s="358" t="s">
        <v>912</v>
      </c>
      <c r="AK23" s="12"/>
      <c r="AL23" s="2"/>
      <c r="AM23" s="43"/>
      <c r="AN23" s="46"/>
      <c r="AO23" s="13"/>
      <c r="AP23" s="398"/>
      <c r="AQ23" s="391" t="s">
        <v>913</v>
      </c>
      <c r="AR23" s="14"/>
    </row>
    <row r="24" spans="1:44" ht="15.75" customHeight="1" thickBot="1" x14ac:dyDescent="0.2">
      <c r="A24" s="25"/>
      <c r="D24" s="97"/>
      <c r="E24" s="98"/>
      <c r="F24" s="2"/>
      <c r="G24" s="2"/>
      <c r="K24" s="96"/>
      <c r="L24" s="43"/>
      <c r="M24" s="43"/>
      <c r="N24" s="43"/>
      <c r="O24" s="43"/>
      <c r="P24" s="43"/>
      <c r="Q24" s="43"/>
      <c r="R24" s="43"/>
      <c r="S24" s="15"/>
      <c r="T24" s="10"/>
      <c r="U24" s="442" t="s">
        <v>956</v>
      </c>
      <c r="V24" s="37" t="s">
        <v>20</v>
      </c>
      <c r="W24" s="79"/>
      <c r="X24" s="80"/>
      <c r="Y24" s="81"/>
      <c r="Z24" s="80"/>
      <c r="AA24" s="443"/>
      <c r="AB24" s="444" t="s">
        <v>908</v>
      </c>
      <c r="AC24" s="445"/>
      <c r="AD24" s="446"/>
      <c r="AE24" s="79"/>
      <c r="AF24" s="80"/>
      <c r="AG24" s="447"/>
      <c r="AH24" s="448"/>
      <c r="AI24" s="443"/>
      <c r="AJ24" s="449" t="s">
        <v>909</v>
      </c>
      <c r="AK24" s="446"/>
      <c r="AL24" s="79"/>
      <c r="AM24" s="80"/>
      <c r="AN24" s="447"/>
      <c r="AO24" s="448"/>
      <c r="AP24" s="443"/>
      <c r="AQ24" s="450" t="s">
        <v>910</v>
      </c>
      <c r="AR24" s="14"/>
    </row>
    <row r="25" spans="1:44" ht="15.75" customHeight="1" thickBot="1" x14ac:dyDescent="0.2">
      <c r="A25" s="25"/>
      <c r="B25" s="99" t="s">
        <v>737</v>
      </c>
      <c r="C25" s="100"/>
      <c r="D25" s="101"/>
      <c r="E25" s="646"/>
      <c r="F25" s="646"/>
      <c r="G25" s="646"/>
      <c r="H25" s="646"/>
      <c r="I25" s="646"/>
      <c r="J25" s="646"/>
      <c r="K25" s="646"/>
      <c r="L25" s="646"/>
      <c r="M25" s="646"/>
      <c r="N25" s="646"/>
      <c r="O25" s="646"/>
      <c r="P25" s="646"/>
      <c r="Q25" s="646"/>
      <c r="R25" s="647"/>
      <c r="S25" s="15"/>
      <c r="T25" s="10"/>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14"/>
    </row>
    <row r="26" spans="1:44" ht="15.75" customHeight="1" x14ac:dyDescent="0.15">
      <c r="A26" s="25"/>
      <c r="B26" s="616"/>
      <c r="C26" s="617"/>
      <c r="D26" s="617"/>
      <c r="E26" s="617"/>
      <c r="F26" s="617"/>
      <c r="G26" s="617"/>
      <c r="H26" s="617"/>
      <c r="I26" s="617"/>
      <c r="J26" s="617"/>
      <c r="K26" s="617"/>
      <c r="L26" s="617"/>
      <c r="M26" s="617"/>
      <c r="N26" s="617"/>
      <c r="O26" s="617"/>
      <c r="P26" s="617"/>
      <c r="Q26" s="617"/>
      <c r="R26" s="618"/>
      <c r="S26" s="15"/>
      <c r="T26" s="10"/>
      <c r="U26" s="377"/>
      <c r="V26" s="13"/>
      <c r="W26" s="86" t="s">
        <v>110</v>
      </c>
      <c r="X26" s="13"/>
      <c r="Y26" s="23"/>
      <c r="Z26" s="13"/>
      <c r="AA26" s="86" t="s">
        <v>111</v>
      </c>
      <c r="AB26" s="13"/>
      <c r="AC26" s="13"/>
      <c r="AD26" s="21"/>
      <c r="AE26" s="118" t="s">
        <v>964</v>
      </c>
      <c r="AF26" s="13"/>
      <c r="AG26" s="13"/>
      <c r="AH26" s="13"/>
      <c r="AI26" s="13"/>
      <c r="AJ26" s="13"/>
      <c r="AK26" s="13"/>
      <c r="AL26" s="13"/>
      <c r="AM26" s="13"/>
      <c r="AN26" s="13"/>
      <c r="AO26" s="13"/>
      <c r="AP26" s="13"/>
      <c r="AQ26" s="13"/>
      <c r="AR26" s="385"/>
    </row>
    <row r="27" spans="1:44" ht="15.75" customHeight="1" x14ac:dyDescent="0.15">
      <c r="A27" s="25"/>
      <c r="B27" s="616"/>
      <c r="C27" s="617"/>
      <c r="D27" s="617"/>
      <c r="E27" s="617"/>
      <c r="F27" s="617"/>
      <c r="G27" s="617"/>
      <c r="H27" s="617"/>
      <c r="I27" s="617"/>
      <c r="J27" s="617"/>
      <c r="K27" s="617"/>
      <c r="L27" s="617"/>
      <c r="M27" s="617"/>
      <c r="N27" s="617"/>
      <c r="O27" s="617"/>
      <c r="P27" s="617"/>
      <c r="Q27" s="617"/>
      <c r="R27" s="618"/>
      <c r="S27" s="15"/>
      <c r="T27" s="10"/>
      <c r="U27" s="378" t="s">
        <v>116</v>
      </c>
      <c r="V27" s="89" t="s">
        <v>9</v>
      </c>
      <c r="W27" s="89" t="s">
        <v>10</v>
      </c>
      <c r="X27" s="89" t="s">
        <v>11</v>
      </c>
      <c r="Y27" s="46"/>
      <c r="Z27" s="13"/>
      <c r="AA27" s="89" t="s">
        <v>10</v>
      </c>
      <c r="AB27" s="89" t="s">
        <v>11</v>
      </c>
      <c r="AC27" s="89"/>
      <c r="AD27" s="21"/>
      <c r="AE27" s="90" t="s">
        <v>116</v>
      </c>
      <c r="AF27" s="13"/>
      <c r="AG27" s="13"/>
      <c r="AH27" s="13"/>
      <c r="AI27" s="13"/>
      <c r="AJ27" s="13"/>
      <c r="AK27" s="13"/>
      <c r="AL27" s="13"/>
      <c r="AM27" s="89" t="s">
        <v>9</v>
      </c>
      <c r="AN27" s="13"/>
      <c r="AO27" s="13"/>
      <c r="AP27" s="89" t="s">
        <v>10</v>
      </c>
      <c r="AQ27" s="89" t="s">
        <v>11</v>
      </c>
      <c r="AR27" s="14"/>
    </row>
    <row r="28" spans="1:44" ht="15.75" customHeight="1" x14ac:dyDescent="0.2">
      <c r="A28" s="25"/>
      <c r="B28" s="616"/>
      <c r="C28" s="617"/>
      <c r="D28" s="617"/>
      <c r="E28" s="617"/>
      <c r="F28" s="617"/>
      <c r="G28" s="617"/>
      <c r="H28" s="617"/>
      <c r="I28" s="617"/>
      <c r="J28" s="617"/>
      <c r="K28" s="617"/>
      <c r="L28" s="617"/>
      <c r="M28" s="617"/>
      <c r="N28" s="617"/>
      <c r="O28" s="617"/>
      <c r="P28" s="617"/>
      <c r="Q28" s="617"/>
      <c r="R28" s="618"/>
      <c r="S28" s="15"/>
      <c r="T28" s="10"/>
      <c r="U28" s="379" t="s">
        <v>874</v>
      </c>
      <c r="V28" s="92" t="s">
        <v>20</v>
      </c>
      <c r="W28" s="93">
        <f>W7-AA7</f>
        <v>0</v>
      </c>
      <c r="X28" s="56" t="s">
        <v>119</v>
      </c>
      <c r="Y28" s="57"/>
      <c r="Z28" s="61"/>
      <c r="AA28" s="93">
        <f>AE7-AI7</f>
        <v>0</v>
      </c>
      <c r="AB28" s="56" t="s">
        <v>120</v>
      </c>
      <c r="AC28" s="56"/>
      <c r="AD28" s="21"/>
      <c r="AE28" s="95" t="s">
        <v>876</v>
      </c>
      <c r="AF28" s="61"/>
      <c r="AG28" s="61"/>
      <c r="AH28" s="61"/>
      <c r="AI28" s="61"/>
      <c r="AJ28" s="61"/>
      <c r="AK28" s="61"/>
      <c r="AL28" s="61"/>
      <c r="AM28" s="92" t="s">
        <v>20</v>
      </c>
      <c r="AN28" s="61"/>
      <c r="AO28" s="61"/>
      <c r="AP28" s="93">
        <f>AL7-AP7</f>
        <v>0</v>
      </c>
      <c r="AQ28" s="56" t="s">
        <v>121</v>
      </c>
      <c r="AR28" s="14"/>
    </row>
    <row r="29" spans="1:44" ht="15.75" customHeight="1" x14ac:dyDescent="0.2">
      <c r="A29" s="25"/>
      <c r="B29" s="616"/>
      <c r="C29" s="617"/>
      <c r="D29" s="617"/>
      <c r="E29" s="617"/>
      <c r="F29" s="617"/>
      <c r="G29" s="617"/>
      <c r="H29" s="617"/>
      <c r="I29" s="617"/>
      <c r="J29" s="617"/>
      <c r="K29" s="617"/>
      <c r="L29" s="617"/>
      <c r="M29" s="617"/>
      <c r="N29" s="617"/>
      <c r="O29" s="617"/>
      <c r="P29" s="617"/>
      <c r="Q29" s="617"/>
      <c r="R29" s="618"/>
      <c r="S29" s="15"/>
      <c r="T29" s="10"/>
      <c r="U29" s="379" t="s">
        <v>122</v>
      </c>
      <c r="V29" s="92" t="s">
        <v>20</v>
      </c>
      <c r="W29" s="93">
        <f>AA17-$N$19</f>
        <v>0</v>
      </c>
      <c r="X29" s="56" t="s">
        <v>123</v>
      </c>
      <c r="Y29" s="57"/>
      <c r="Z29" s="61"/>
      <c r="AA29" s="93">
        <f>IF(AA28=0,0,AI17-$N$19)</f>
        <v>0</v>
      </c>
      <c r="AB29" s="56" t="s">
        <v>124</v>
      </c>
      <c r="AC29" s="56"/>
      <c r="AD29" s="94"/>
      <c r="AE29" s="95" t="s">
        <v>125</v>
      </c>
      <c r="AF29" s="61"/>
      <c r="AG29" s="61"/>
      <c r="AH29" s="61"/>
      <c r="AI29" s="61"/>
      <c r="AJ29" s="61"/>
      <c r="AK29" s="61"/>
      <c r="AL29" s="61"/>
      <c r="AM29" s="92" t="s">
        <v>20</v>
      </c>
      <c r="AN29" s="61"/>
      <c r="AO29" s="61"/>
      <c r="AP29" s="93">
        <f>(AP17-$N$19)-W29</f>
        <v>0</v>
      </c>
      <c r="AQ29" s="56" t="s">
        <v>126</v>
      </c>
      <c r="AR29" s="14"/>
    </row>
    <row r="30" spans="1:44" ht="15.75" customHeight="1" x14ac:dyDescent="0.2">
      <c r="A30" s="25"/>
      <c r="B30" s="616"/>
      <c r="C30" s="617"/>
      <c r="D30" s="617"/>
      <c r="E30" s="617"/>
      <c r="F30" s="617"/>
      <c r="G30" s="617"/>
      <c r="H30" s="617"/>
      <c r="I30" s="617"/>
      <c r="J30" s="617"/>
      <c r="K30" s="617"/>
      <c r="L30" s="617"/>
      <c r="M30" s="617"/>
      <c r="N30" s="617"/>
      <c r="O30" s="617"/>
      <c r="P30" s="617"/>
      <c r="Q30" s="617"/>
      <c r="R30" s="618"/>
      <c r="S30" s="15"/>
      <c r="T30" s="10"/>
      <c r="U30" s="379" t="s">
        <v>875</v>
      </c>
      <c r="V30" s="92" t="s">
        <v>20</v>
      </c>
      <c r="W30" s="327" t="e">
        <f>(W28*($E$20*(1-$E$18)-$E$18*(4.186*($N$20-$E$15)+2257))-W29*$E23)/$E$20</f>
        <v>#DIV/0!</v>
      </c>
      <c r="X30" s="328" t="s">
        <v>127</v>
      </c>
      <c r="Y30" s="329"/>
      <c r="Z30" s="330"/>
      <c r="AA30" s="327">
        <f>IF(AA28=0,0,(AA28*($E$20*(1-$E$18)-$E$18*(4.186*($N$20-$E$15)+2257))-AA29*$E23)/$E$20)</f>
        <v>0</v>
      </c>
      <c r="AB30" s="328" t="s">
        <v>128</v>
      </c>
      <c r="AC30" s="328"/>
      <c r="AD30" s="331"/>
      <c r="AE30" s="332" t="s">
        <v>875</v>
      </c>
      <c r="AF30" s="330"/>
      <c r="AG30" s="330"/>
      <c r="AH30" s="330"/>
      <c r="AI30" s="330"/>
      <c r="AJ30" s="330"/>
      <c r="AK30" s="330"/>
      <c r="AL30" s="330"/>
      <c r="AM30" s="333" t="s">
        <v>20</v>
      </c>
      <c r="AN30" s="330"/>
      <c r="AO30" s="330"/>
      <c r="AP30" s="327" t="e">
        <f>(AP28*($E$20*(1-$E$18)-$E$18*(4.186*($N$20-$E$15)+2257))-AP29*$E23)/$E$20</f>
        <v>#DIV/0!</v>
      </c>
      <c r="AQ30" s="56" t="s">
        <v>129</v>
      </c>
      <c r="AR30" s="14"/>
    </row>
    <row r="31" spans="1:44" ht="15.75" customHeight="1" x14ac:dyDescent="0.2">
      <c r="A31" s="25"/>
      <c r="B31" s="616"/>
      <c r="C31" s="617"/>
      <c r="D31" s="617"/>
      <c r="E31" s="617"/>
      <c r="F31" s="617"/>
      <c r="G31" s="617"/>
      <c r="H31" s="617"/>
      <c r="I31" s="617"/>
      <c r="J31" s="617"/>
      <c r="K31" s="617"/>
      <c r="L31" s="617"/>
      <c r="M31" s="617"/>
      <c r="N31" s="617"/>
      <c r="O31" s="617"/>
      <c r="P31" s="617"/>
      <c r="Q31" s="617"/>
      <c r="R31" s="618"/>
      <c r="S31" s="15"/>
      <c r="T31" s="10"/>
      <c r="U31" s="379" t="s">
        <v>130</v>
      </c>
      <c r="V31" s="92" t="s">
        <v>20</v>
      </c>
      <c r="W31" s="93">
        <f>SUM(W12:W15)-SUM(AA12:AA15)</f>
        <v>0</v>
      </c>
      <c r="X31" s="56" t="s">
        <v>131</v>
      </c>
      <c r="Y31" s="57"/>
      <c r="Z31" s="61"/>
      <c r="AA31" s="93">
        <f>SUM(AE12:AE15)-SUM(AI12:AI15)</f>
        <v>0</v>
      </c>
      <c r="AB31" s="56" t="s">
        <v>132</v>
      </c>
      <c r="AC31" s="56"/>
      <c r="AD31" s="94"/>
      <c r="AE31" s="95" t="s">
        <v>133</v>
      </c>
      <c r="AF31" s="61"/>
      <c r="AG31" s="61"/>
      <c r="AH31" s="61"/>
      <c r="AI31" s="61"/>
      <c r="AJ31" s="61"/>
      <c r="AK31" s="61"/>
      <c r="AL31" s="61"/>
      <c r="AM31" s="92" t="s">
        <v>20</v>
      </c>
      <c r="AN31" s="61"/>
      <c r="AO31" s="61"/>
      <c r="AP31" s="93">
        <f>(AL12-AP12)+(AL13-AP13)+(AL14-AP14)+(AL15-AP15)</f>
        <v>0</v>
      </c>
      <c r="AQ31" s="56" t="s">
        <v>134</v>
      </c>
      <c r="AR31" s="14"/>
    </row>
    <row r="32" spans="1:44" ht="15.75" customHeight="1" x14ac:dyDescent="0.2">
      <c r="A32" s="25"/>
      <c r="B32" s="616"/>
      <c r="C32" s="617"/>
      <c r="D32" s="617"/>
      <c r="E32" s="617"/>
      <c r="F32" s="617"/>
      <c r="G32" s="617"/>
      <c r="H32" s="617"/>
      <c r="I32" s="617"/>
      <c r="J32" s="617"/>
      <c r="K32" s="617"/>
      <c r="L32" s="617"/>
      <c r="M32" s="617"/>
      <c r="N32" s="617"/>
      <c r="O32" s="617"/>
      <c r="P32" s="617"/>
      <c r="Q32" s="617"/>
      <c r="R32" s="618"/>
      <c r="S32" s="15"/>
      <c r="T32" s="10"/>
      <c r="U32" s="379" t="s">
        <v>135</v>
      </c>
      <c r="V32" s="92" t="s">
        <v>20</v>
      </c>
      <c r="W32" s="93" t="e">
        <f>((AA12-$N15)*(AA8-W8)/($N$20-W8)+(AA13-$N16)*(AA9-W9)/($N$20-W9)+(AA14-$N17)*(AA10-W10)/($N$20-W10)+(AA15-$N18)*(AA11-W11)/($N$20-W11))</f>
        <v>#DIV/0!</v>
      </c>
      <c r="X32" s="56" t="s">
        <v>136</v>
      </c>
      <c r="Y32" s="57"/>
      <c r="Z32" s="61"/>
      <c r="AA32" s="93" t="e">
        <f>((AI12-$N15)*(AI8-AE8)/($N$20-AE8)+(AI13-$N16)*(AI9-AE9)/($N$20-AE9)+(AI14-$N17)*(AI10-AE10)/($N$20-AE10)+(AI15-$N18)*(AI11-AE11)/($N$20-AE11))</f>
        <v>#DIV/0!</v>
      </c>
      <c r="AB32" s="56" t="s">
        <v>137</v>
      </c>
      <c r="AC32" s="56"/>
      <c r="AD32" s="94"/>
      <c r="AE32" s="95" t="s">
        <v>138</v>
      </c>
      <c r="AF32" s="61"/>
      <c r="AG32" s="61"/>
      <c r="AH32" s="61"/>
      <c r="AI32" s="61"/>
      <c r="AJ32" s="61"/>
      <c r="AK32" s="61"/>
      <c r="AL32" s="61"/>
      <c r="AM32" s="92" t="s">
        <v>20</v>
      </c>
      <c r="AN32" s="61"/>
      <c r="AO32" s="61"/>
      <c r="AP32" s="93">
        <f>(AP12-$N$15+((AP9-25)/(N20-25))*(AP13-N16)+((AP10-25)/(N20-25))*(AP14-N17)+((AP11-25)/(N20-25))*(AP15-N18))</f>
        <v>0</v>
      </c>
      <c r="AQ32" s="56" t="s">
        <v>139</v>
      </c>
      <c r="AR32" s="14"/>
    </row>
    <row r="33" spans="1:122" ht="15.75" customHeight="1" x14ac:dyDescent="0.2">
      <c r="A33" s="25"/>
      <c r="B33" s="616"/>
      <c r="C33" s="617"/>
      <c r="D33" s="617"/>
      <c r="E33" s="617"/>
      <c r="F33" s="617"/>
      <c r="G33" s="617"/>
      <c r="H33" s="617"/>
      <c r="I33" s="617"/>
      <c r="J33" s="617"/>
      <c r="K33" s="617"/>
      <c r="L33" s="617"/>
      <c r="M33" s="617"/>
      <c r="N33" s="617"/>
      <c r="O33" s="617"/>
      <c r="P33" s="617"/>
      <c r="Q33" s="617"/>
      <c r="R33" s="618"/>
      <c r="S33" s="15"/>
      <c r="T33" s="10"/>
      <c r="U33" s="379" t="s">
        <v>140</v>
      </c>
      <c r="V33" s="92" t="s">
        <v>141</v>
      </c>
      <c r="W33" s="93">
        <f>(AA6-W6)*1440</f>
        <v>0</v>
      </c>
      <c r="X33" s="56" t="s">
        <v>142</v>
      </c>
      <c r="Y33" s="57"/>
      <c r="Z33" s="61"/>
      <c r="AA33" s="93">
        <f>(AI6-AE6)*1440</f>
        <v>0</v>
      </c>
      <c r="AB33" s="56" t="s">
        <v>143</v>
      </c>
      <c r="AC33" s="56"/>
      <c r="AD33" s="94"/>
      <c r="AE33" s="95" t="s">
        <v>144</v>
      </c>
      <c r="AF33" s="61"/>
      <c r="AG33" s="61"/>
      <c r="AH33" s="61"/>
      <c r="AI33" s="61"/>
      <c r="AJ33" s="61"/>
      <c r="AK33" s="61"/>
      <c r="AL33" s="61"/>
      <c r="AM33" s="92" t="s">
        <v>141</v>
      </c>
      <c r="AN33" s="61"/>
      <c r="AO33" s="61"/>
      <c r="AP33" s="93">
        <f>(AP6-AL6)*1440</f>
        <v>0</v>
      </c>
      <c r="AQ33" s="56" t="s">
        <v>145</v>
      </c>
      <c r="AR33" s="14"/>
    </row>
    <row r="34" spans="1:122" ht="15.75" customHeight="1" x14ac:dyDescent="0.2">
      <c r="A34" s="25"/>
      <c r="B34" s="616"/>
      <c r="C34" s="617"/>
      <c r="D34" s="617"/>
      <c r="E34" s="617"/>
      <c r="F34" s="617"/>
      <c r="G34" s="617"/>
      <c r="H34" s="617"/>
      <c r="I34" s="617"/>
      <c r="J34" s="617"/>
      <c r="K34" s="617"/>
      <c r="L34" s="617"/>
      <c r="M34" s="617"/>
      <c r="N34" s="617"/>
      <c r="O34" s="617"/>
      <c r="P34" s="617"/>
      <c r="Q34" s="617"/>
      <c r="R34" s="618"/>
      <c r="S34" s="15"/>
      <c r="T34" s="10"/>
      <c r="U34" s="379" t="s">
        <v>146</v>
      </c>
      <c r="V34" s="92" t="s">
        <v>141</v>
      </c>
      <c r="W34" s="327" t="e">
        <f>W33*75/(N20-W8)</f>
        <v>#DIV/0!</v>
      </c>
      <c r="X34" s="56" t="s">
        <v>147</v>
      </c>
      <c r="Y34" s="57"/>
      <c r="Z34" s="61"/>
      <c r="AA34" s="327" t="e">
        <f>AA33*75/(N20-AE8)</f>
        <v>#DIV/0!</v>
      </c>
      <c r="AB34" s="56" t="s">
        <v>148</v>
      </c>
      <c r="AC34" s="56"/>
      <c r="AD34" s="94"/>
      <c r="AE34" s="95" t="s">
        <v>149</v>
      </c>
      <c r="AF34" s="61"/>
      <c r="AG34" s="61"/>
      <c r="AH34" s="61"/>
      <c r="AI34" s="61"/>
      <c r="AJ34" s="61"/>
      <c r="AK34" s="61"/>
      <c r="AL34" s="61"/>
      <c r="AM34" s="92" t="s">
        <v>113</v>
      </c>
      <c r="AN34" s="61"/>
      <c r="AO34" s="61"/>
      <c r="AP34" s="434" t="e">
        <f>(4.186*((AL12-$N15+AP32)/2)*(AP8-AL8)+2260*AP31)/(AP30*$E$20)</f>
        <v>#DIV/0!</v>
      </c>
      <c r="AQ34" s="56" t="s">
        <v>150</v>
      </c>
      <c r="AR34" s="14"/>
    </row>
    <row r="35" spans="1:122" ht="15.75" customHeight="1" x14ac:dyDescent="0.2">
      <c r="A35" s="25"/>
      <c r="B35" s="613"/>
      <c r="C35" s="614"/>
      <c r="D35" s="614"/>
      <c r="E35" s="614"/>
      <c r="F35" s="614"/>
      <c r="G35" s="614"/>
      <c r="H35" s="614"/>
      <c r="I35" s="614"/>
      <c r="J35" s="614"/>
      <c r="K35" s="614"/>
      <c r="L35" s="614"/>
      <c r="M35" s="614"/>
      <c r="N35" s="614"/>
      <c r="O35" s="614"/>
      <c r="P35" s="614"/>
      <c r="Q35" s="614"/>
      <c r="R35" s="615"/>
      <c r="S35" s="15"/>
      <c r="T35" s="10"/>
      <c r="U35" s="379" t="s">
        <v>149</v>
      </c>
      <c r="V35" s="92" t="s">
        <v>113</v>
      </c>
      <c r="W35" s="434" t="e">
        <f>(4.186*SUM((W12-$N15)*(AA8-W8),(W13-$N16)*(AA9-W9),(W14-$N17)*(AA10-W10),(W15-$N18)*(AA11-W11))+2260*W31)/(W30*$E20)</f>
        <v>#DIV/0!</v>
      </c>
      <c r="X35" s="56" t="s">
        <v>151</v>
      </c>
      <c r="Y35" s="57"/>
      <c r="Z35" s="61"/>
      <c r="AA35" s="434" t="e">
        <f>(4.186*SUM((AE12-$N15)*(AI8-AE8),(AE13-$N16)*(AI9-AE9),(AE14-$N17)*(AI10-AE10),(AE15-$N18)*(AI11-AE11))+2260*AA31)/(AA30*$E20)</f>
        <v>#DIV/0!</v>
      </c>
      <c r="AB35" s="56" t="s">
        <v>152</v>
      </c>
      <c r="AC35" s="56"/>
      <c r="AD35" s="94"/>
      <c r="AE35" s="95" t="s">
        <v>153</v>
      </c>
      <c r="AF35" s="61"/>
      <c r="AG35" s="61"/>
      <c r="AH35" s="61"/>
      <c r="AI35" s="61"/>
      <c r="AJ35" s="61"/>
      <c r="AK35" s="61"/>
      <c r="AL35" s="61"/>
      <c r="AM35" s="92" t="s">
        <v>154</v>
      </c>
      <c r="AN35" s="61"/>
      <c r="AO35" s="61"/>
      <c r="AP35" s="421" t="e">
        <f>AP30/AP33</f>
        <v>#DIV/0!</v>
      </c>
      <c r="AQ35" s="56" t="s">
        <v>155</v>
      </c>
      <c r="AR35" s="14"/>
    </row>
    <row r="36" spans="1:122" ht="15.75" customHeight="1" thickBot="1" x14ac:dyDescent="0.25">
      <c r="A36" s="25"/>
      <c r="B36" s="110" t="s">
        <v>184</v>
      </c>
      <c r="C36" s="110"/>
      <c r="D36" s="110"/>
      <c r="E36" s="110"/>
      <c r="F36" s="110"/>
      <c r="G36" s="110"/>
      <c r="H36" s="110"/>
      <c r="I36" s="110"/>
      <c r="J36" s="110"/>
      <c r="K36" s="110"/>
      <c r="L36" s="110"/>
      <c r="M36" s="110"/>
      <c r="N36" s="110"/>
      <c r="O36" s="111"/>
      <c r="P36" s="111"/>
      <c r="Q36" s="111"/>
      <c r="R36" s="111"/>
      <c r="S36" s="15"/>
      <c r="T36" s="10"/>
      <c r="U36" s="379" t="s">
        <v>153</v>
      </c>
      <c r="V36" s="92" t="s">
        <v>154</v>
      </c>
      <c r="W36" s="421" t="e">
        <f>W30/W33</f>
        <v>#DIV/0!</v>
      </c>
      <c r="X36" s="92" t="s">
        <v>156</v>
      </c>
      <c r="Y36" s="57"/>
      <c r="Z36" s="61"/>
      <c r="AA36" s="421" t="e">
        <f>AA30/AA33</f>
        <v>#DIV/0!</v>
      </c>
      <c r="AB36" s="56" t="s">
        <v>157</v>
      </c>
      <c r="AC36" s="56"/>
      <c r="AD36" s="94"/>
      <c r="AE36" s="95" t="s">
        <v>158</v>
      </c>
      <c r="AF36" s="61"/>
      <c r="AG36" s="61"/>
      <c r="AH36" s="61"/>
      <c r="AI36" s="61"/>
      <c r="AJ36" s="61"/>
      <c r="AK36" s="61"/>
      <c r="AL36" s="61"/>
      <c r="AM36" s="92" t="s">
        <v>844</v>
      </c>
      <c r="AN36" s="61"/>
      <c r="AO36" s="61"/>
      <c r="AP36" s="421" t="e">
        <f>AP30/AP32*1000</f>
        <v>#DIV/0!</v>
      </c>
      <c r="AQ36" s="56" t="s">
        <v>160</v>
      </c>
      <c r="AR36" s="14"/>
    </row>
    <row r="37" spans="1:122" ht="13.5" customHeight="1" thickTop="1" thickBot="1" x14ac:dyDescent="0.25">
      <c r="A37" s="109"/>
      <c r="B37" s="249"/>
      <c r="C37" s="249"/>
      <c r="D37" s="249"/>
      <c r="E37" s="249"/>
      <c r="F37" s="249"/>
      <c r="G37" s="249"/>
      <c r="H37" s="249"/>
      <c r="I37" s="249"/>
      <c r="J37" s="249"/>
      <c r="K37" s="249"/>
      <c r="L37" s="249"/>
      <c r="M37" s="249"/>
      <c r="N37" s="249"/>
      <c r="O37" s="249"/>
      <c r="P37" s="249"/>
      <c r="Q37" s="249"/>
      <c r="R37" s="249"/>
      <c r="S37" s="112"/>
      <c r="T37" s="10"/>
      <c r="U37" s="379" t="s">
        <v>158</v>
      </c>
      <c r="V37" s="92" t="s">
        <v>845</v>
      </c>
      <c r="W37" s="435" t="e">
        <f>1000*W30/W32</f>
        <v>#DIV/0!</v>
      </c>
      <c r="X37" s="56" t="s">
        <v>161</v>
      </c>
      <c r="Y37" s="57"/>
      <c r="Z37" s="61"/>
      <c r="AA37" s="435" t="e">
        <f>1000*AA30/AA32</f>
        <v>#DIV/0!</v>
      </c>
      <c r="AB37" s="56" t="s">
        <v>162</v>
      </c>
      <c r="AC37" s="56"/>
      <c r="AD37" s="94"/>
      <c r="AE37" s="95" t="s">
        <v>163</v>
      </c>
      <c r="AF37" s="61"/>
      <c r="AG37" s="61"/>
      <c r="AH37" s="61"/>
      <c r="AI37" s="61"/>
      <c r="AJ37" s="61"/>
      <c r="AK37" s="61"/>
      <c r="AL37" s="61"/>
      <c r="AM37" s="92" t="s">
        <v>164</v>
      </c>
      <c r="AN37" s="61"/>
      <c r="AO37" s="61"/>
      <c r="AP37" s="327" t="e">
        <f>AP30*$E$20/(AP33*60)</f>
        <v>#DIV/0!</v>
      </c>
      <c r="AQ37" s="56" t="s">
        <v>165</v>
      </c>
      <c r="AR37" s="14"/>
    </row>
    <row r="38" spans="1:122" ht="15.6" customHeight="1" thickTop="1" x14ac:dyDescent="0.2">
      <c r="B38" s="118" t="str">
        <f>"TEST #8 "&amp;D7</f>
        <v xml:space="preserve">TEST #8 </v>
      </c>
      <c r="S38" s="2"/>
      <c r="T38" s="21"/>
      <c r="U38" s="379" t="s">
        <v>166</v>
      </c>
      <c r="V38" s="92" t="s">
        <v>159</v>
      </c>
      <c r="W38" s="435" t="e">
        <f>W37*75/($N$20-W8)</f>
        <v>#DIV/0!</v>
      </c>
      <c r="X38" s="56" t="s">
        <v>167</v>
      </c>
      <c r="Y38" s="57"/>
      <c r="Z38" s="61"/>
      <c r="AA38" s="435" t="e">
        <f>AA37*75/($N$20-AE8)</f>
        <v>#DIV/0!</v>
      </c>
      <c r="AB38" s="56" t="s">
        <v>168</v>
      </c>
      <c r="AC38" s="56"/>
      <c r="AD38" s="94"/>
      <c r="AE38" s="95" t="s">
        <v>169</v>
      </c>
      <c r="AF38" s="61"/>
      <c r="AG38" s="61"/>
      <c r="AH38" s="61"/>
      <c r="AI38" s="61"/>
      <c r="AJ38" s="61"/>
      <c r="AK38" s="61"/>
      <c r="AL38" s="61"/>
      <c r="AM38" s="92" t="s">
        <v>92</v>
      </c>
      <c r="AN38" s="61"/>
      <c r="AO38" s="61"/>
      <c r="AP38" s="417" t="e">
        <f>W40/AP37</f>
        <v>#DIV/0!</v>
      </c>
      <c r="AQ38" s="92" t="s">
        <v>170</v>
      </c>
      <c r="AR38" s="14"/>
    </row>
    <row r="39" spans="1:122" ht="15.6" customHeight="1" thickBot="1" x14ac:dyDescent="0.25">
      <c r="B39" s="619" t="s">
        <v>747</v>
      </c>
      <c r="C39" s="620"/>
      <c r="D39" s="620"/>
      <c r="E39" s="620"/>
      <c r="F39" s="620"/>
      <c r="G39" s="620"/>
      <c r="H39" s="620"/>
      <c r="I39" s="620"/>
      <c r="J39" s="620"/>
      <c r="K39" s="620"/>
      <c r="L39" s="620"/>
      <c r="M39" s="620"/>
      <c r="N39" s="620"/>
      <c r="O39" s="620"/>
      <c r="P39" s="620"/>
      <c r="Q39" s="620"/>
      <c r="R39" s="621"/>
      <c r="T39" s="21"/>
      <c r="U39" s="379" t="s">
        <v>171</v>
      </c>
      <c r="V39" s="92" t="s">
        <v>172</v>
      </c>
      <c r="W39" s="93" t="e">
        <f>(W38/1000)*E20</f>
        <v>#DIV/0!</v>
      </c>
      <c r="X39" s="56" t="s">
        <v>173</v>
      </c>
      <c r="Y39" s="57"/>
      <c r="Z39" s="61"/>
      <c r="AA39" s="93" t="e">
        <f>(AA38/1000)*E20</f>
        <v>#DIV/0!</v>
      </c>
      <c r="AB39" s="56" t="s">
        <v>174</v>
      </c>
      <c r="AC39" s="56"/>
      <c r="AD39" s="94"/>
      <c r="AE39" s="102" t="s">
        <v>175</v>
      </c>
      <c r="AF39" s="103"/>
      <c r="AG39" s="103"/>
      <c r="AH39" s="103"/>
      <c r="AI39" s="103"/>
      <c r="AJ39" s="103"/>
      <c r="AK39" s="103"/>
      <c r="AL39" s="103"/>
      <c r="AM39" s="104" t="s">
        <v>172</v>
      </c>
      <c r="AN39" s="103"/>
      <c r="AO39" s="103"/>
      <c r="AP39" s="105" t="e">
        <f>(AP36/1000)*E20</f>
        <v>#DIV/0!</v>
      </c>
      <c r="AQ39" s="106" t="s">
        <v>176</v>
      </c>
      <c r="AR39" s="107"/>
    </row>
    <row r="40" spans="1:122" ht="14.25" thickBot="1" x14ac:dyDescent="0.25">
      <c r="B40" s="616"/>
      <c r="C40" s="617"/>
      <c r="D40" s="617"/>
      <c r="E40" s="617"/>
      <c r="F40" s="617"/>
      <c r="G40" s="617"/>
      <c r="H40" s="617"/>
      <c r="I40" s="617"/>
      <c r="J40" s="617"/>
      <c r="K40" s="617"/>
      <c r="L40" s="617"/>
      <c r="M40" s="617"/>
      <c r="N40" s="617"/>
      <c r="O40" s="617"/>
      <c r="P40" s="617"/>
      <c r="Q40" s="617"/>
      <c r="R40" s="618"/>
      <c r="T40" s="21"/>
      <c r="U40" s="380" t="s">
        <v>163</v>
      </c>
      <c r="V40" s="115" t="s">
        <v>164</v>
      </c>
      <c r="W40" s="422" t="e">
        <f>W30*$E$20/(W33*60)</f>
        <v>#DIV/0!</v>
      </c>
      <c r="X40" s="376" t="s">
        <v>177</v>
      </c>
      <c r="Y40" s="252"/>
      <c r="Z40" s="114"/>
      <c r="AA40" s="422" t="e">
        <f>AA30*$E$20/(AA33*60)</f>
        <v>#DIV/0!</v>
      </c>
      <c r="AB40" s="376" t="s">
        <v>178</v>
      </c>
      <c r="AC40" s="376"/>
      <c r="AD40" s="253"/>
      <c r="AE40" s="3" t="s">
        <v>179</v>
      </c>
      <c r="AM40" s="3" t="s">
        <v>20</v>
      </c>
      <c r="AP40" s="388" t="e">
        <f>IF(ISERROR(AA38),5*(W38+AP36),5*(AVERAGE(W38,AA38)+AP36))</f>
        <v>#DIV/0!</v>
      </c>
      <c r="AQ40" s="108" t="s">
        <v>180</v>
      </c>
      <c r="AR40" s="14"/>
      <c r="DG40" s="1"/>
      <c r="DH40" s="1"/>
      <c r="DI40" s="1"/>
      <c r="DJ40" s="1"/>
      <c r="DK40" s="1"/>
      <c r="DL40" s="1"/>
      <c r="DM40" s="1"/>
      <c r="DN40" s="1"/>
      <c r="DO40" s="1"/>
      <c r="DP40" s="1"/>
      <c r="DQ40" s="1"/>
      <c r="DR40" s="1"/>
    </row>
    <row r="41" spans="1:122" ht="15.6" customHeight="1" thickTop="1" thickBot="1" x14ac:dyDescent="0.2">
      <c r="B41" s="616"/>
      <c r="C41" s="617"/>
      <c r="D41" s="617"/>
      <c r="E41" s="617"/>
      <c r="F41" s="617"/>
      <c r="G41" s="617"/>
      <c r="H41" s="617"/>
      <c r="I41" s="617"/>
      <c r="J41" s="617"/>
      <c r="K41" s="617"/>
      <c r="L41" s="617"/>
      <c r="M41" s="617"/>
      <c r="N41" s="617"/>
      <c r="O41" s="617"/>
      <c r="P41" s="617"/>
      <c r="Q41" s="617"/>
      <c r="R41" s="618"/>
      <c r="T41" s="13"/>
      <c r="U41" s="13"/>
      <c r="V41" s="13"/>
      <c r="W41" s="13"/>
      <c r="X41" s="13"/>
      <c r="Y41" s="8"/>
      <c r="Z41" s="8"/>
      <c r="AA41" s="8"/>
      <c r="AB41" s="13"/>
      <c r="AC41" s="8"/>
      <c r="AD41" s="384"/>
      <c r="AE41" s="114" t="s">
        <v>181</v>
      </c>
      <c r="AF41" s="114"/>
      <c r="AG41" s="114"/>
      <c r="AH41" s="114"/>
      <c r="AI41" s="114"/>
      <c r="AJ41" s="114"/>
      <c r="AK41" s="114"/>
      <c r="AL41" s="114"/>
      <c r="AM41" s="114" t="s">
        <v>182</v>
      </c>
      <c r="AN41" s="114"/>
      <c r="AO41" s="114"/>
      <c r="AP41" s="254" t="e">
        <f>(AP40/1000)*E20</f>
        <v>#DIV/0!</v>
      </c>
      <c r="AQ41" s="115" t="s">
        <v>183</v>
      </c>
      <c r="AR41" s="116"/>
      <c r="DG41" s="1"/>
      <c r="DH41" s="1"/>
      <c r="DI41" s="1"/>
      <c r="DJ41" s="1"/>
      <c r="DK41" s="1"/>
      <c r="DL41" s="1"/>
      <c r="DM41" s="1"/>
      <c r="DN41" s="1"/>
      <c r="DO41" s="1"/>
      <c r="DP41" s="1"/>
      <c r="DQ41" s="1"/>
      <c r="DR41" s="1"/>
    </row>
    <row r="42" spans="1:122" ht="15.6" customHeight="1" thickTop="1" thickBot="1" x14ac:dyDescent="0.2">
      <c r="B42" s="616"/>
      <c r="C42" s="617"/>
      <c r="D42" s="617"/>
      <c r="E42" s="617"/>
      <c r="F42" s="617"/>
      <c r="G42" s="617"/>
      <c r="H42" s="617"/>
      <c r="I42" s="617"/>
      <c r="J42" s="617"/>
      <c r="K42" s="617"/>
      <c r="L42" s="617"/>
      <c r="M42" s="617"/>
      <c r="N42" s="617"/>
      <c r="O42" s="617"/>
      <c r="P42" s="617"/>
      <c r="Q42" s="617"/>
      <c r="R42" s="618"/>
      <c r="U42" s="387" t="s">
        <v>966</v>
      </c>
      <c r="W42" s="108">
        <v>1</v>
      </c>
      <c r="DG42" s="1"/>
      <c r="DH42" s="1"/>
      <c r="DI42" s="1"/>
      <c r="DJ42" s="1"/>
      <c r="DK42" s="1"/>
      <c r="DL42" s="1"/>
      <c r="DM42" s="1"/>
      <c r="DN42" s="1"/>
      <c r="DO42" s="1"/>
      <c r="DP42" s="1"/>
      <c r="DQ42" s="1"/>
      <c r="DR42" s="1"/>
    </row>
    <row r="43" spans="1:122" ht="15.6" customHeight="1" thickTop="1" x14ac:dyDescent="0.15">
      <c r="B43" s="616"/>
      <c r="C43" s="617"/>
      <c r="D43" s="617"/>
      <c r="E43" s="617"/>
      <c r="F43" s="617"/>
      <c r="G43" s="617"/>
      <c r="H43" s="617"/>
      <c r="I43" s="617"/>
      <c r="J43" s="617"/>
      <c r="K43" s="617"/>
      <c r="L43" s="617"/>
      <c r="M43" s="617"/>
      <c r="N43" s="617"/>
      <c r="O43" s="617"/>
      <c r="P43" s="617"/>
      <c r="Q43" s="617"/>
      <c r="R43" s="618"/>
      <c r="U43" s="283" t="s">
        <v>952</v>
      </c>
      <c r="V43" s="284"/>
      <c r="W43" s="285"/>
      <c r="X43" s="410"/>
      <c r="Y43" s="287"/>
      <c r="Z43" s="287"/>
      <c r="AA43" s="287"/>
      <c r="AB43" s="287"/>
      <c r="AC43" s="287"/>
      <c r="AD43" s="287"/>
      <c r="AE43" s="285" t="s">
        <v>88</v>
      </c>
      <c r="AF43" s="288" t="s">
        <v>866</v>
      </c>
      <c r="DG43" s="1"/>
      <c r="DH43" s="1"/>
      <c r="DI43" s="1"/>
      <c r="DJ43" s="1"/>
      <c r="DK43" s="1"/>
      <c r="DL43" s="1"/>
      <c r="DM43" s="1"/>
      <c r="DN43" s="1"/>
      <c r="DO43" s="1"/>
      <c r="DP43" s="1"/>
      <c r="DQ43" s="1"/>
      <c r="DR43" s="1"/>
    </row>
    <row r="44" spans="1:122" ht="15.6" customHeight="1" x14ac:dyDescent="0.15">
      <c r="B44" s="616"/>
      <c r="C44" s="617"/>
      <c r="D44" s="617"/>
      <c r="E44" s="617"/>
      <c r="F44" s="617"/>
      <c r="G44" s="617"/>
      <c r="H44" s="617"/>
      <c r="I44" s="617"/>
      <c r="J44" s="617"/>
      <c r="K44" s="617"/>
      <c r="L44" s="617"/>
      <c r="M44" s="617"/>
      <c r="N44" s="617"/>
      <c r="O44" s="617"/>
      <c r="P44" s="617"/>
      <c r="Q44" s="617"/>
      <c r="R44" s="618"/>
      <c r="U44" s="289" t="s">
        <v>851</v>
      </c>
      <c r="V44" s="290"/>
      <c r="AB44" s="22" t="s">
        <v>113</v>
      </c>
      <c r="AE44" s="396" t="e">
        <f>IF(AA33=0,W35,(W35+AA35)/2)</f>
        <v>#DIV/0!</v>
      </c>
      <c r="AF44" s="423" t="e">
        <f>IF(AE44=0,"-",IF(AE44&lt;Lists!E15,"0",IF(AE44&lt;Lists!I15,1,IF(AE44&lt;Lists!K15,2,IF(AE44&lt;Lists!M15,3,4)))))</f>
        <v>#DIV/0!</v>
      </c>
      <c r="DG44" s="1"/>
      <c r="DH44" s="1"/>
      <c r="DI44" s="1"/>
      <c r="DJ44" s="1"/>
      <c r="DK44" s="1"/>
      <c r="DL44" s="1"/>
      <c r="DM44" s="1"/>
      <c r="DN44" s="1"/>
      <c r="DO44" s="1"/>
      <c r="DP44" s="1"/>
      <c r="DQ44" s="1"/>
      <c r="DR44" s="1"/>
    </row>
    <row r="45" spans="1:122" ht="15.6" customHeight="1" x14ac:dyDescent="0.15">
      <c r="B45" s="616"/>
      <c r="C45" s="617"/>
      <c r="D45" s="617"/>
      <c r="E45" s="617"/>
      <c r="F45" s="617"/>
      <c r="G45" s="617"/>
      <c r="H45" s="617"/>
      <c r="I45" s="617"/>
      <c r="J45" s="617"/>
      <c r="K45" s="617"/>
      <c r="L45" s="617"/>
      <c r="M45" s="617"/>
      <c r="N45" s="617"/>
      <c r="O45" s="617"/>
      <c r="P45" s="617"/>
      <c r="Q45" s="617"/>
      <c r="R45" s="618"/>
      <c r="U45" s="289" t="s">
        <v>958</v>
      </c>
      <c r="V45" s="290"/>
      <c r="AB45" s="22" t="s">
        <v>959</v>
      </c>
      <c r="AE45" s="403" t="e">
        <f>AP30*'General Information'!L22/(AP32*AP33*1000)</f>
        <v>#DIV/0!</v>
      </c>
      <c r="AF45" s="424" t="e">
        <f>IF(AE45&gt;Lists!E16,"0",IF(AE45&gt;Lists!I16,1,IF(AE45&gt;Lists!K16,2,IF(AE45&gt;Lists!M16,3,4))))</f>
        <v>#DIV/0!</v>
      </c>
    </row>
    <row r="46" spans="1:122" ht="15.6" customHeight="1" x14ac:dyDescent="0.15">
      <c r="B46" s="616"/>
      <c r="C46" s="617"/>
      <c r="D46" s="617"/>
      <c r="E46" s="617"/>
      <c r="F46" s="617"/>
      <c r="G46" s="617"/>
      <c r="H46" s="617"/>
      <c r="I46" s="617"/>
      <c r="J46" s="617"/>
      <c r="K46" s="617"/>
      <c r="L46" s="617"/>
      <c r="M46" s="617"/>
      <c r="N46" s="617"/>
      <c r="O46" s="617"/>
      <c r="P46" s="617"/>
      <c r="Q46" s="617"/>
      <c r="R46" s="618"/>
      <c r="U46" s="289" t="s">
        <v>854</v>
      </c>
      <c r="V46" s="290"/>
      <c r="AB46" s="22" t="s">
        <v>960</v>
      </c>
      <c r="AE46" s="402" t="e">
        <f>IF(W42=3,IF(AA33=0,1000000/'General Information'!L22*AA23/(W35*W30),1000000/'General Information'!L22*(AA23/(W35*W30)+AI23/(AA35*AA30))/2),IF(W42=1,IF(AA33=0,1000000/'General Information'!L22*W70/(W35*W30),1000000/'General Information'!L22*(W70/(W35*W30)+AA70/(AA35*AA30))/2),IF(AA33=0,1000000/'General Information'!L22*W74/(W35*W30),1000000/'General Information'!L22*(W74/(W35*W30)+AA74/(AA35*AA30))/2)))</f>
        <v>#DIV/0!</v>
      </c>
      <c r="AF46" s="424" t="e">
        <f xml:space="preserve"> IF(AE46&gt;Lists!E17,"0",IF(AE46&gt;Lists!I17,1,IF(AE46&gt;Lists!K17,2,IF(AE46&gt;Lists!M17,3,4))))</f>
        <v>#DIV/0!</v>
      </c>
    </row>
    <row r="47" spans="1:122" ht="15.6" customHeight="1" x14ac:dyDescent="0.15">
      <c r="B47" s="616"/>
      <c r="C47" s="617"/>
      <c r="D47" s="617"/>
      <c r="E47" s="617"/>
      <c r="F47" s="617"/>
      <c r="G47" s="617"/>
      <c r="H47" s="617"/>
      <c r="I47" s="617"/>
      <c r="J47" s="617"/>
      <c r="K47" s="617"/>
      <c r="L47" s="617"/>
      <c r="M47" s="617"/>
      <c r="N47" s="617"/>
      <c r="O47" s="617"/>
      <c r="P47" s="617"/>
      <c r="Q47" s="617"/>
      <c r="R47" s="618"/>
      <c r="U47" s="289" t="s">
        <v>856</v>
      </c>
      <c r="V47" s="290"/>
      <c r="AB47" s="22" t="s">
        <v>961</v>
      </c>
      <c r="AE47" s="403" t="e">
        <f>IF(W42=3,AP23/(AP33*AP32)*1000,IF(W42=1,AE70/(AP33*AP32)*1000,AE74/(AP33*AP32)*1000))</f>
        <v>#DIV/0!</v>
      </c>
      <c r="AF47" s="424" t="e">
        <f>IF(AE47&gt;Lists!E18,"0",IF(AE47&gt;Lists!I18,1,IF(AE47&gt;Lists!K18,2,IF(AE47&gt;Lists!M18,3,4))))</f>
        <v>#DIV/0!</v>
      </c>
    </row>
    <row r="48" spans="1:122" ht="15.6" customHeight="1" x14ac:dyDescent="0.15">
      <c r="B48" s="613"/>
      <c r="C48" s="614"/>
      <c r="D48" s="614"/>
      <c r="E48" s="614"/>
      <c r="F48" s="614"/>
      <c r="G48" s="614"/>
      <c r="H48" s="614"/>
      <c r="I48" s="614"/>
      <c r="J48" s="614"/>
      <c r="K48" s="614"/>
      <c r="L48" s="614"/>
      <c r="M48" s="614"/>
      <c r="N48" s="614"/>
      <c r="O48" s="614"/>
      <c r="P48" s="614"/>
      <c r="Q48" s="614"/>
      <c r="R48" s="615"/>
      <c r="U48" s="289" t="s">
        <v>858</v>
      </c>
      <c r="V48" s="290"/>
      <c r="AB48" s="22" t="s">
        <v>962</v>
      </c>
      <c r="AE48" s="404" t="e">
        <f>IF(W42=3,IF(AA33=0,10^9/'General Information'!L22*AA24/(W35*W30),10^9/'General Information'!L22*(AA24/(W35*W30)+AI24/(AA35*AA30))/2),IF(W42=1,IF(AA33=0,10^9/'General Information'!L22*W71/(W35*W30),10^9/'General Information'!L22*(W71/(W35*W30)+AA71/(AA35*AA30))/2),IF(AA33=0,10^9/'General Information'!L22*W75/(W35*W30),10^9/'General Information'!L22*(W75/(W35*W30)+AA75/(AA35*AA30))/2)))</f>
        <v>#DIV/0!</v>
      </c>
      <c r="AF48" s="424" t="e">
        <f>IF(AE48&gt;Lists!E19,"0",IF(AE48&gt;Lists!I19,1,IF(AE48&gt;Lists!K19,2,IF(AE48&gt;Lists!M19,3,4))))</f>
        <v>#DIV/0!</v>
      </c>
    </row>
    <row r="49" spans="2:35" ht="15.6" customHeight="1" x14ac:dyDescent="0.15">
      <c r="C49" s="1"/>
      <c r="H49" s="1"/>
      <c r="I49" s="1"/>
      <c r="J49" s="1"/>
      <c r="K49" s="1"/>
      <c r="L49" s="1"/>
      <c r="M49" s="1"/>
      <c r="N49" s="1"/>
      <c r="O49" s="1"/>
      <c r="P49" s="1"/>
      <c r="Q49" s="1"/>
      <c r="R49" s="1"/>
      <c r="U49" s="289" t="s">
        <v>860</v>
      </c>
      <c r="V49" s="290"/>
      <c r="AB49" s="22" t="s">
        <v>963</v>
      </c>
      <c r="AE49" s="397" t="e">
        <f>IF(W42=3,AP24/(AP33*AP32)*1000000,IF(W42=1,AE71/(AP33*AP32)*1000000,AE75/(AP33*AP32)*1000000))</f>
        <v>#DIV/0!</v>
      </c>
      <c r="AF49" s="424" t="e">
        <f>IF(AE49&gt;Lists!E20,"0",IF(AE49&gt;Lists!I20,1,IF(AE49&gt;Lists!K20,2,IF(AE49&gt;Lists!M20,3,4))))</f>
        <v>#DIV/0!</v>
      </c>
    </row>
    <row r="50" spans="2:35" ht="15.6" customHeight="1" x14ac:dyDescent="0.15">
      <c r="B50" s="619" t="s">
        <v>802</v>
      </c>
      <c r="C50" s="620"/>
      <c r="D50" s="620"/>
      <c r="E50" s="620"/>
      <c r="F50" s="620"/>
      <c r="G50" s="620"/>
      <c r="H50" s="620"/>
      <c r="I50" s="620"/>
      <c r="J50" s="620"/>
      <c r="K50" s="620"/>
      <c r="L50" s="620"/>
      <c r="M50" s="620"/>
      <c r="N50" s="620"/>
      <c r="O50" s="620"/>
      <c r="P50" s="620"/>
      <c r="Q50" s="620"/>
      <c r="R50" s="621"/>
      <c r="U50" s="289" t="s">
        <v>879</v>
      </c>
      <c r="V50" s="290"/>
      <c r="AB50" s="22" t="s">
        <v>154</v>
      </c>
      <c r="AE50" s="397" t="e">
        <f>IF(W42=3,IF(IF(AA33=0,AA23/W33,(AA23/W33+AI23/AA33)/2)&lt;(AP23/AP33),AP23/AP33,IF(AA33=0,AA23/W33,(AA23/W33+AI23/AA33)/2)),IF(W42=1,IF(IF(AA33=0,W70/W33,(W70/W33+AA70/AA33)/2)&lt;(AE70/AP33),AE70/AP33,IF(AA33=0,W70/W33,(W70/W33+AA70/AA33)/2)),IF(IF(AA33=0,W74/W33,(W74/W33+AA74/AA33)/2)&lt;(AE74/AP33),AE74/AP33,IF(AA33=0,W74/W33,(W74/W33+AA74/AA33)/2))))</f>
        <v>#DIV/0!</v>
      </c>
      <c r="AF50" s="424" t="e">
        <f>IF(AE50&gt;Lists!E21,"0",IF(AE50&gt;Lists!I21,1,IF(AE50&gt;Lists!K21,2,IF(AE50&gt;Lists!M21,3,4))))</f>
        <v>#DIV/0!</v>
      </c>
    </row>
    <row r="51" spans="2:35" ht="15.6" customHeight="1" thickBot="1" x14ac:dyDescent="0.2">
      <c r="B51" s="616"/>
      <c r="C51" s="617"/>
      <c r="D51" s="617"/>
      <c r="E51" s="617"/>
      <c r="F51" s="617"/>
      <c r="G51" s="617"/>
      <c r="H51" s="617"/>
      <c r="I51" s="617"/>
      <c r="J51" s="617"/>
      <c r="K51" s="617"/>
      <c r="L51" s="617"/>
      <c r="M51" s="617"/>
      <c r="N51" s="617"/>
      <c r="O51" s="617"/>
      <c r="P51" s="617"/>
      <c r="Q51" s="617"/>
      <c r="R51" s="618"/>
      <c r="U51" s="291" t="s">
        <v>878</v>
      </c>
      <c r="V51" s="292"/>
      <c r="W51" s="269"/>
      <c r="X51" s="269"/>
      <c r="Y51" s="269"/>
      <c r="Z51" s="269"/>
      <c r="AA51" s="269"/>
      <c r="AB51" s="270" t="s">
        <v>864</v>
      </c>
      <c r="AC51" s="269"/>
      <c r="AD51" s="269"/>
      <c r="AE51" s="405" t="e">
        <f>IF(W42=3,IF(IF(AA33=0,AA24/W33,(AA24/W33+AI24/AA33)/2)&lt;(AP24/AP33),AP24/AP33*1000,IF(AA33=0,AA24/W33,(AA24/W33+AI24/AA33)/2)*1000),IF(W42=1,IF(IF(AA33=0,W71/W33,(W71/W33+AA71/AA33)/2)&lt;(AE71/AP33),AE71/AP33*1000,IF(AA33=0,W71/W33,(W71/W33+AA71/AA33)/2)*1000),IF(IF(AA33=0,W75/W33,(W75/W33+AA75/AA33)/2)&lt;(AE75/AP33),AE75/AP33*1000,IF(AA33=0,W75/W33,(W75/W33+AA75/AA33)/2)*1000)))</f>
        <v>#DIV/0!</v>
      </c>
      <c r="AF51" s="425" t="e">
        <f>IF(AE51&gt;Lists!E22,"0",IF(AE51&gt;Lists!I22,1,IF(AE51&gt;Lists!K22,2,IF(AE51&gt;Lists!M22,3,4))))</f>
        <v>#DIV/0!</v>
      </c>
      <c r="AI51" s="13"/>
    </row>
    <row r="52" spans="2:35" ht="15.6" customHeight="1" thickTop="1" thickBot="1" x14ac:dyDescent="0.2">
      <c r="B52" s="616"/>
      <c r="C52" s="617"/>
      <c r="D52" s="617"/>
      <c r="E52" s="617"/>
      <c r="F52" s="617"/>
      <c r="G52" s="617"/>
      <c r="H52" s="617"/>
      <c r="I52" s="617"/>
      <c r="J52" s="617"/>
      <c r="K52" s="617"/>
      <c r="L52" s="617"/>
      <c r="M52" s="617"/>
      <c r="N52" s="617"/>
      <c r="O52" s="617"/>
      <c r="P52" s="617"/>
      <c r="Q52" s="617"/>
      <c r="R52" s="618"/>
      <c r="U52" s="118" t="str">
        <f>"TEST #8 "&amp;D7</f>
        <v xml:space="preserve">TEST #8 </v>
      </c>
      <c r="V52" s="86" t="s">
        <v>804</v>
      </c>
      <c r="AI52" s="13"/>
    </row>
    <row r="53" spans="2:35" ht="15.6" customHeight="1" thickTop="1" x14ac:dyDescent="0.15">
      <c r="B53" s="616"/>
      <c r="C53" s="617"/>
      <c r="D53" s="617"/>
      <c r="E53" s="617"/>
      <c r="F53" s="617"/>
      <c r="G53" s="617"/>
      <c r="H53" s="617"/>
      <c r="I53" s="617"/>
      <c r="J53" s="617"/>
      <c r="K53" s="617"/>
      <c r="L53" s="617"/>
      <c r="M53" s="617"/>
      <c r="N53" s="617"/>
      <c r="O53" s="617"/>
      <c r="P53" s="617"/>
      <c r="Q53" s="617"/>
      <c r="R53" s="618"/>
      <c r="T53" s="7"/>
      <c r="U53" s="8"/>
      <c r="V53" s="8"/>
      <c r="W53" s="260" t="s">
        <v>110</v>
      </c>
      <c r="X53" s="8"/>
      <c r="Y53" s="261"/>
      <c r="Z53" s="8"/>
      <c r="AA53" s="260" t="s">
        <v>111</v>
      </c>
      <c r="AB53" s="8"/>
      <c r="AC53" s="261"/>
      <c r="AD53" s="8"/>
      <c r="AE53" s="260" t="s">
        <v>2</v>
      </c>
      <c r="AF53" s="8"/>
      <c r="AG53" s="146"/>
      <c r="AH53" s="146"/>
      <c r="AI53" s="271"/>
    </row>
    <row r="54" spans="2:35" ht="15.6" customHeight="1" x14ac:dyDescent="0.15">
      <c r="B54" s="616"/>
      <c r="C54" s="617"/>
      <c r="D54" s="617"/>
      <c r="E54" s="617"/>
      <c r="F54" s="617"/>
      <c r="G54" s="617"/>
      <c r="H54" s="617"/>
      <c r="I54" s="617"/>
      <c r="J54" s="617"/>
      <c r="K54" s="617"/>
      <c r="L54" s="617"/>
      <c r="M54" s="617"/>
      <c r="N54" s="617"/>
      <c r="O54" s="617"/>
      <c r="P54" s="617"/>
      <c r="Q54" s="617"/>
      <c r="R54" s="618"/>
      <c r="T54" s="10"/>
      <c r="U54" s="88" t="s">
        <v>116</v>
      </c>
      <c r="V54" s="89" t="s">
        <v>9</v>
      </c>
      <c r="W54" s="89" t="s">
        <v>10</v>
      </c>
      <c r="X54" s="89" t="s">
        <v>11</v>
      </c>
      <c r="Y54" s="46"/>
      <c r="Z54" s="13"/>
      <c r="AA54" s="89" t="s">
        <v>10</v>
      </c>
      <c r="AB54" s="89" t="s">
        <v>11</v>
      </c>
      <c r="AC54" s="46"/>
      <c r="AD54" s="13"/>
      <c r="AE54" s="89" t="s">
        <v>10</v>
      </c>
      <c r="AF54" s="89" t="s">
        <v>11</v>
      </c>
      <c r="AG54" s="71"/>
      <c r="AH54" s="71"/>
      <c r="AI54" s="271"/>
    </row>
    <row r="55" spans="2:35" ht="15.6" customHeight="1" x14ac:dyDescent="0.3">
      <c r="B55" s="616"/>
      <c r="C55" s="617"/>
      <c r="D55" s="617"/>
      <c r="E55" s="617"/>
      <c r="F55" s="617"/>
      <c r="G55" s="617"/>
      <c r="H55" s="617"/>
      <c r="I55" s="617"/>
      <c r="J55" s="617"/>
      <c r="K55" s="617"/>
      <c r="L55" s="617"/>
      <c r="M55" s="617"/>
      <c r="N55" s="617"/>
      <c r="O55" s="617"/>
      <c r="P55" s="617"/>
      <c r="Q55" s="617"/>
      <c r="R55" s="618"/>
      <c r="T55" s="10"/>
      <c r="U55" s="91" t="s">
        <v>805</v>
      </c>
      <c r="V55" s="92" t="s">
        <v>806</v>
      </c>
      <c r="W55" s="427">
        <f>'General Information'!$C$24*W33/60</f>
        <v>0</v>
      </c>
      <c r="X55" s="350" t="s">
        <v>884</v>
      </c>
      <c r="Y55" s="57"/>
      <c r="Z55" s="61"/>
      <c r="AA55" s="426">
        <f>'General Information'!$C$24*AA33/60</f>
        <v>0</v>
      </c>
      <c r="AB55" s="351" t="s">
        <v>885</v>
      </c>
      <c r="AC55" s="46"/>
      <c r="AD55" s="13"/>
      <c r="AE55" s="426">
        <f>'General Information'!$C$24*AP33/60</f>
        <v>0</v>
      </c>
      <c r="AF55" s="351" t="s">
        <v>886</v>
      </c>
      <c r="AG55" s="71"/>
      <c r="AH55" s="71"/>
      <c r="AI55" s="271"/>
    </row>
    <row r="56" spans="2:35" ht="15.6" customHeight="1" x14ac:dyDescent="0.3">
      <c r="B56" s="616"/>
      <c r="C56" s="617"/>
      <c r="D56" s="617"/>
      <c r="E56" s="617"/>
      <c r="F56" s="617"/>
      <c r="G56" s="617"/>
      <c r="H56" s="617"/>
      <c r="I56" s="617"/>
      <c r="J56" s="617"/>
      <c r="K56" s="617"/>
      <c r="L56" s="617"/>
      <c r="M56" s="617"/>
      <c r="N56" s="617"/>
      <c r="O56" s="617"/>
      <c r="P56" s="617"/>
      <c r="Q56" s="617"/>
      <c r="R56" s="618"/>
      <c r="T56" s="10"/>
      <c r="U56" s="91" t="s">
        <v>814</v>
      </c>
      <c r="V56" s="92" t="s">
        <v>781</v>
      </c>
      <c r="W56" s="421" t="e">
        <f>((AA18-$N21)+(AA19-$N22)+(AA20-$N23)/15/('General Information'!$C$22/0.008314/(AA21+273.15)))</f>
        <v>#DIV/0!</v>
      </c>
      <c r="X56" s="350" t="s">
        <v>887</v>
      </c>
      <c r="Y56" s="57"/>
      <c r="Z56" s="61"/>
      <c r="AA56" s="429" t="e">
        <f>((AI18-$N21)+(AI19-$N22)+(AI20-$N23)/15/('General Information'!$C$22/0.008314/(AI21+273.15)))</f>
        <v>#DIV/0!</v>
      </c>
      <c r="AB56" s="351" t="s">
        <v>888</v>
      </c>
      <c r="AC56" s="57"/>
      <c r="AD56" s="13"/>
      <c r="AE56" s="429" t="e">
        <f>((AP18-$N21)+(AP19-$N22)+(AP20-$N23)/15/('General Information'!$C$22/0.008314/(AP21+273.15)))</f>
        <v>#DIV/0!</v>
      </c>
      <c r="AF56" s="351" t="s">
        <v>889</v>
      </c>
      <c r="AG56" s="71"/>
      <c r="AH56" s="71"/>
      <c r="AI56" s="271"/>
    </row>
    <row r="57" spans="2:35" ht="15.6" customHeight="1" x14ac:dyDescent="0.3">
      <c r="B57" s="616"/>
      <c r="C57" s="617"/>
      <c r="D57" s="617"/>
      <c r="E57" s="617"/>
      <c r="F57" s="617"/>
      <c r="G57" s="617"/>
      <c r="H57" s="617"/>
      <c r="I57" s="617"/>
      <c r="J57" s="617"/>
      <c r="K57" s="617"/>
      <c r="L57" s="617"/>
      <c r="M57" s="617"/>
      <c r="N57" s="617"/>
      <c r="O57" s="617"/>
      <c r="P57" s="617"/>
      <c r="Q57" s="617"/>
      <c r="R57" s="618"/>
      <c r="T57" s="10"/>
      <c r="U57" s="91" t="s">
        <v>807</v>
      </c>
      <c r="V57" s="92" t="s">
        <v>808</v>
      </c>
      <c r="W57" s="395" t="e">
        <f>'General Information'!$C$22/0.008314/(AA21+273.15)*W56*0.000001*12</f>
        <v>#DIV/0!</v>
      </c>
      <c r="X57" s="350" t="s">
        <v>890</v>
      </c>
      <c r="Y57" s="57"/>
      <c r="Z57" s="61"/>
      <c r="AA57" s="392" t="e">
        <f>'General Information'!$C$22/0.008314/(AI21+273.15)*AA56*0.000001*12</f>
        <v>#DIV/0!</v>
      </c>
      <c r="AB57" s="351" t="s">
        <v>891</v>
      </c>
      <c r="AC57" s="57"/>
      <c r="AD57" s="13"/>
      <c r="AE57" s="392" t="e">
        <f>'General Information'!$C$22/0.008314/(AP21+273.15)*AE56*0.000001*12</f>
        <v>#DIV/0!</v>
      </c>
      <c r="AF57" s="351" t="s">
        <v>892</v>
      </c>
      <c r="AG57" s="71"/>
      <c r="AH57" s="71"/>
      <c r="AI57" s="271"/>
    </row>
    <row r="58" spans="2:35" ht="15.6" customHeight="1" x14ac:dyDescent="0.15">
      <c r="B58" s="616"/>
      <c r="C58" s="617"/>
      <c r="D58" s="617"/>
      <c r="E58" s="617"/>
      <c r="F58" s="617"/>
      <c r="G58" s="617"/>
      <c r="H58" s="617"/>
      <c r="I58" s="617"/>
      <c r="J58" s="617"/>
      <c r="K58" s="617"/>
      <c r="L58" s="617"/>
      <c r="M58" s="617"/>
      <c r="N58" s="617"/>
      <c r="O58" s="617"/>
      <c r="P58" s="617"/>
      <c r="Q58" s="617"/>
      <c r="R58" s="618"/>
      <c r="T58" s="10"/>
      <c r="U58" s="91" t="s">
        <v>877</v>
      </c>
      <c r="V58" s="92" t="s">
        <v>20</v>
      </c>
      <c r="W58" s="93" t="e">
        <f>W57*W55/fuelFracC</f>
        <v>#DIV/0!</v>
      </c>
      <c r="X58" s="351" t="s">
        <v>893</v>
      </c>
      <c r="Y58" s="57"/>
      <c r="Z58" s="61"/>
      <c r="AA58" s="392" t="e">
        <f>AA57*AA55/fuelFracC</f>
        <v>#DIV/0!</v>
      </c>
      <c r="AB58" s="351" t="s">
        <v>894</v>
      </c>
      <c r="AC58" s="57"/>
      <c r="AD58" s="13"/>
      <c r="AE58" s="392" t="e">
        <f>AE57*AE55/fuelFracC</f>
        <v>#DIV/0!</v>
      </c>
      <c r="AF58" s="351" t="s">
        <v>895</v>
      </c>
      <c r="AG58" s="13"/>
      <c r="AH58" s="13"/>
      <c r="AI58" s="271"/>
    </row>
    <row r="59" spans="2:35" ht="15.6" customHeight="1" x14ac:dyDescent="0.15">
      <c r="B59" s="613"/>
      <c r="C59" s="614"/>
      <c r="D59" s="614"/>
      <c r="E59" s="614"/>
      <c r="F59" s="614"/>
      <c r="G59" s="614"/>
      <c r="H59" s="614"/>
      <c r="I59" s="614"/>
      <c r="J59" s="614"/>
      <c r="K59" s="614"/>
      <c r="L59" s="614"/>
      <c r="M59" s="614"/>
      <c r="N59" s="614"/>
      <c r="O59" s="614"/>
      <c r="P59" s="614"/>
      <c r="Q59" s="614"/>
      <c r="R59" s="615"/>
      <c r="T59" s="10"/>
      <c r="U59" s="13" t="s">
        <v>824</v>
      </c>
      <c r="V59" s="22" t="s">
        <v>113</v>
      </c>
      <c r="W59" s="431" t="e">
        <f>W58/((1-$E$18)*(W28)-W29*charFracC/'General Information'!L23)</f>
        <v>#DIV/0!</v>
      </c>
      <c r="X59" s="351" t="s">
        <v>896</v>
      </c>
      <c r="Y59" s="334"/>
      <c r="Z59" s="335"/>
      <c r="AA59" s="430" t="e">
        <f>AA58/((1-$E$18)*(AA28)-AA29*charFracC/'General Information'!L23)</f>
        <v>#DIV/0!</v>
      </c>
      <c r="AB59" s="351" t="s">
        <v>897</v>
      </c>
      <c r="AC59" s="334"/>
      <c r="AD59" s="336"/>
      <c r="AE59" s="430" t="e">
        <f>AE58/((1-$E$18)*(AP28)-AP29*charFracC/'General Information'!L23)</f>
        <v>#DIV/0!</v>
      </c>
      <c r="AF59" s="351" t="s">
        <v>898</v>
      </c>
      <c r="AG59" s="13"/>
      <c r="AH59" s="13"/>
      <c r="AI59" s="271"/>
    </row>
    <row r="60" spans="2:35" ht="15.6" customHeight="1" x14ac:dyDescent="0.15">
      <c r="T60" s="10"/>
      <c r="U60" s="262" t="s">
        <v>813</v>
      </c>
      <c r="V60" s="13"/>
      <c r="W60" s="312"/>
      <c r="X60" s="56"/>
      <c r="Y60" s="57"/>
      <c r="Z60" s="61"/>
      <c r="AA60" s="2"/>
      <c r="AB60" s="22"/>
      <c r="AC60" s="57"/>
      <c r="AD60" s="13"/>
      <c r="AE60" s="312"/>
      <c r="AF60" s="22"/>
      <c r="AG60" s="22"/>
      <c r="AH60" s="13"/>
      <c r="AI60" s="271"/>
    </row>
    <row r="61" spans="2:35" ht="15.6" customHeight="1" x14ac:dyDescent="0.15">
      <c r="B61" s="619" t="s">
        <v>803</v>
      </c>
      <c r="C61" s="620"/>
      <c r="D61" s="620"/>
      <c r="E61" s="620"/>
      <c r="F61" s="620"/>
      <c r="G61" s="620"/>
      <c r="H61" s="620"/>
      <c r="I61" s="620"/>
      <c r="J61" s="620"/>
      <c r="K61" s="620"/>
      <c r="L61" s="620"/>
      <c r="M61" s="620"/>
      <c r="N61" s="620"/>
      <c r="O61" s="620"/>
      <c r="P61" s="620"/>
      <c r="Q61" s="620"/>
      <c r="R61" s="621"/>
      <c r="T61" s="10"/>
      <c r="U61" s="13" t="s">
        <v>812</v>
      </c>
      <c r="V61" s="22" t="s">
        <v>159</v>
      </c>
      <c r="W61" s="432" t="e">
        <f>IF($W$42=3,AA22/W$32*1000,IF($W$42=1,W69/W$32*1000,W73/W$32*1000))</f>
        <v>#DIV/0!</v>
      </c>
      <c r="X61" s="356" t="s">
        <v>919</v>
      </c>
      <c r="Y61" s="329"/>
      <c r="Z61" s="330"/>
      <c r="AA61" s="432" t="e">
        <f>IF($W$42=3,AI22/AA$32*1000,IF($W$42=1,AA69/AA$32*1000,AA73/AA$32*1000))</f>
        <v>#DIV/0!</v>
      </c>
      <c r="AB61" s="356" t="s">
        <v>920</v>
      </c>
      <c r="AC61" s="329"/>
      <c r="AD61" s="357"/>
      <c r="AE61" s="432" t="e">
        <f>IF($W$42=3,AP22/AP$32*1000,IF($W$42=1,AE69/AP$32*1000,AE73/AP$32*1000))</f>
        <v>#DIV/0!</v>
      </c>
      <c r="AF61" s="351" t="s">
        <v>921</v>
      </c>
      <c r="AG61" s="22"/>
      <c r="AH61" s="13"/>
      <c r="AI61" s="271"/>
    </row>
    <row r="62" spans="2:35" ht="15.6" customHeight="1" x14ac:dyDescent="0.15">
      <c r="B62" s="616"/>
      <c r="C62" s="617"/>
      <c r="D62" s="617"/>
      <c r="E62" s="617"/>
      <c r="F62" s="617"/>
      <c r="G62" s="617"/>
      <c r="H62" s="617"/>
      <c r="I62" s="617"/>
      <c r="J62" s="617"/>
      <c r="K62" s="617"/>
      <c r="L62" s="617"/>
      <c r="M62" s="617"/>
      <c r="N62" s="617"/>
      <c r="O62" s="617"/>
      <c r="P62" s="617"/>
      <c r="Q62" s="617"/>
      <c r="R62" s="618"/>
      <c r="T62" s="10"/>
      <c r="U62" s="13" t="s">
        <v>810</v>
      </c>
      <c r="V62" s="22" t="s">
        <v>159</v>
      </c>
      <c r="W62" s="406" t="e">
        <f>IF($W$42=3,AA23/W$32*1000,IF($W$42=1,W70/W$32*1000,W74/W$32*1000))</f>
        <v>#DIV/0!</v>
      </c>
      <c r="X62" s="358" t="s">
        <v>922</v>
      </c>
      <c r="Y62" s="337"/>
      <c r="Z62" s="338"/>
      <c r="AA62" s="406" t="e">
        <f>IF($W$42=3,AI23/AA$32*1000,IF($W$42=1,AA70/AA$32*1000,AA74/AA$32*1000))</f>
        <v>#DIV/0!</v>
      </c>
      <c r="AB62" s="358" t="s">
        <v>923</v>
      </c>
      <c r="AC62" s="337"/>
      <c r="AD62" s="54"/>
      <c r="AE62" s="406" t="e">
        <f>IF($W$42=3,AP23/AP$32*1000,IF($W$42=1,AE70/AP$32*1000,AE74/AP$32*1000))</f>
        <v>#DIV/0!</v>
      </c>
      <c r="AF62" s="351" t="s">
        <v>924</v>
      </c>
      <c r="AG62" s="22"/>
      <c r="AH62" s="13"/>
      <c r="AI62" s="271"/>
    </row>
    <row r="63" spans="2:35" ht="15.6" customHeight="1" x14ac:dyDescent="0.15">
      <c r="B63" s="616"/>
      <c r="C63" s="617"/>
      <c r="D63" s="617"/>
      <c r="E63" s="617"/>
      <c r="F63" s="617"/>
      <c r="G63" s="617"/>
      <c r="H63" s="617"/>
      <c r="I63" s="617"/>
      <c r="J63" s="617"/>
      <c r="K63" s="617"/>
      <c r="L63" s="617"/>
      <c r="M63" s="617"/>
      <c r="N63" s="617"/>
      <c r="O63" s="617"/>
      <c r="P63" s="617"/>
      <c r="Q63" s="617"/>
      <c r="R63" s="618"/>
      <c r="T63" s="10"/>
      <c r="U63" s="13" t="s">
        <v>811</v>
      </c>
      <c r="V63" s="22" t="s">
        <v>159</v>
      </c>
      <c r="W63" s="407" t="e">
        <f>IF($W$42=3,AA24/W$32*1000,IF($W$42=1,W71/W$32*1000,W75/W$32*1000))</f>
        <v>#DIV/0!</v>
      </c>
      <c r="X63" s="359" t="s">
        <v>925</v>
      </c>
      <c r="Y63" s="310"/>
      <c r="Z63" s="311"/>
      <c r="AA63" s="407" t="e">
        <f>IF($W$42=3,AI24/AA$32*1000,IF($W$42=1,AA71/AA$32*1000,AA75/AA$32*1000))</f>
        <v>#DIV/0!</v>
      </c>
      <c r="AB63" s="359" t="s">
        <v>926</v>
      </c>
      <c r="AC63" s="310"/>
      <c r="AD63" s="309"/>
      <c r="AE63" s="407" t="e">
        <f>IF($W$42=3,AP24/AP$32*1000,IF($W$42=1,AE71/AP$32*1000,AE75/AP$32*1000))</f>
        <v>#DIV/0!</v>
      </c>
      <c r="AF63" s="351" t="s">
        <v>927</v>
      </c>
      <c r="AG63" s="22"/>
      <c r="AH63" s="13"/>
      <c r="AI63" s="271"/>
    </row>
    <row r="64" spans="2:35" ht="15.6" customHeight="1" x14ac:dyDescent="0.15">
      <c r="B64" s="616"/>
      <c r="C64" s="617"/>
      <c r="D64" s="617"/>
      <c r="E64" s="617"/>
      <c r="F64" s="617"/>
      <c r="G64" s="617"/>
      <c r="H64" s="617"/>
      <c r="I64" s="617"/>
      <c r="J64" s="617"/>
      <c r="K64" s="617"/>
      <c r="L64" s="617"/>
      <c r="M64" s="617"/>
      <c r="N64" s="617"/>
      <c r="O64" s="617"/>
      <c r="P64" s="617"/>
      <c r="Q64" s="617"/>
      <c r="R64" s="618"/>
      <c r="T64" s="10"/>
      <c r="U64" s="262" t="s">
        <v>809</v>
      </c>
      <c r="V64" s="13"/>
      <c r="W64" s="2"/>
      <c r="X64" s="22"/>
      <c r="Y64" s="57"/>
      <c r="Z64" s="61"/>
      <c r="AA64" s="312"/>
      <c r="AB64" s="22"/>
      <c r="AC64" s="57"/>
      <c r="AD64" s="13"/>
      <c r="AE64" s="312"/>
      <c r="AF64" s="22"/>
      <c r="AG64" s="13"/>
      <c r="AH64" s="13"/>
      <c r="AI64" s="271"/>
    </row>
    <row r="65" spans="2:38" ht="15.6" customHeight="1" x14ac:dyDescent="0.15">
      <c r="B65" s="616"/>
      <c r="C65" s="617"/>
      <c r="D65" s="617"/>
      <c r="E65" s="617"/>
      <c r="F65" s="617"/>
      <c r="G65" s="617"/>
      <c r="H65" s="617"/>
      <c r="I65" s="617"/>
      <c r="J65" s="617"/>
      <c r="K65" s="617"/>
      <c r="L65" s="617"/>
      <c r="M65" s="617"/>
      <c r="N65" s="617"/>
      <c r="O65" s="617"/>
      <c r="P65" s="617"/>
      <c r="Q65" s="617"/>
      <c r="R65" s="618"/>
      <c r="T65" s="10"/>
      <c r="U65" s="13" t="s">
        <v>812</v>
      </c>
      <c r="V65" s="22" t="s">
        <v>821</v>
      </c>
      <c r="W65" s="93" t="e">
        <f>IF(W42=2,W73/(W28*(1-E18)-W29*charFracC/fuelFracC),IF(W56&gt;0,((AA18-$N21)*44/12)/(W$56/fuelFracC)*1000,0))</f>
        <v>#DIV/0!</v>
      </c>
      <c r="X65" s="351" t="s">
        <v>902</v>
      </c>
      <c r="Y65" s="57"/>
      <c r="Z65" s="61"/>
      <c r="AA65" s="85" t="e">
        <f>IF(W42=2,AA73/(AA28*(1-E18)-AA29*charFracC/fuelFracC),IF(AA56&gt;0,((AI18-$N21)*44/12)/(AA$56/fuelFracC)*1000,0))</f>
        <v>#DIV/0!</v>
      </c>
      <c r="AB65" s="351" t="s">
        <v>903</v>
      </c>
      <c r="AC65" s="57"/>
      <c r="AD65" s="13"/>
      <c r="AE65" s="85" t="e">
        <f>IF(W42=2,AE73/(AP28*(1-E18)-AP29*charFracC/fuelFracC),IF(AE56&gt;0,((AP18-$N21)*44/12)/(AE$56/fuelFracC)*1000,0))</f>
        <v>#DIV/0!</v>
      </c>
      <c r="AF65" s="351" t="s">
        <v>904</v>
      </c>
      <c r="AG65" s="13"/>
      <c r="AH65" s="13"/>
      <c r="AI65" s="271"/>
    </row>
    <row r="66" spans="2:38" ht="15.6" customHeight="1" x14ac:dyDescent="0.15">
      <c r="B66" s="616"/>
      <c r="C66" s="617"/>
      <c r="D66" s="617"/>
      <c r="E66" s="617"/>
      <c r="F66" s="617"/>
      <c r="G66" s="617"/>
      <c r="H66" s="617"/>
      <c r="I66" s="617"/>
      <c r="J66" s="617"/>
      <c r="K66" s="617"/>
      <c r="L66" s="617"/>
      <c r="M66" s="617"/>
      <c r="N66" s="617"/>
      <c r="O66" s="617"/>
      <c r="P66" s="617"/>
      <c r="Q66" s="617"/>
      <c r="R66" s="618"/>
      <c r="T66" s="10"/>
      <c r="U66" s="13" t="s">
        <v>810</v>
      </c>
      <c r="V66" s="22" t="s">
        <v>821</v>
      </c>
      <c r="W66" s="406" t="e">
        <f>IF(W42=2,W74/(W28*(1-E18)-W29*charFracC/fuelFracC),IF(W56&gt;0,((AA19-$N22)*28/12)/(W$56/fuelFracC)*1000,0))</f>
        <v>#DIV/0!</v>
      </c>
      <c r="X66" s="351" t="s">
        <v>899</v>
      </c>
      <c r="Y66" s="325"/>
      <c r="Z66" s="326"/>
      <c r="AA66" s="406" t="e">
        <f>IF(W42=2,AA74/(AA28*(1-E18)-AA29*charFracC/fuelFracC),IF(AA56&gt;0,((AI19-$N22)*28/12)/(AA$56/fuelFracC)*1000,0))</f>
        <v>#DIV/0!</v>
      </c>
      <c r="AB66" s="351" t="s">
        <v>900</v>
      </c>
      <c r="AC66" s="325"/>
      <c r="AD66" s="324"/>
      <c r="AE66" s="406" t="e">
        <f>IF(W42=2,AE74/(AP28*(1-E18)-AP29*charFracC/fuelFracC),IF(AE56&gt;0,((AP19-$N22)*28/12)/(AE$56/fuelFracC)*1000,0))</f>
        <v>#DIV/0!</v>
      </c>
      <c r="AF66" s="351" t="s">
        <v>901</v>
      </c>
      <c r="AG66" s="13"/>
      <c r="AH66" s="13"/>
      <c r="AI66" s="271"/>
      <c r="AL66" s="394"/>
    </row>
    <row r="67" spans="2:38" ht="15.6" customHeight="1" x14ac:dyDescent="0.15">
      <c r="B67" s="616"/>
      <c r="C67" s="617"/>
      <c r="D67" s="617"/>
      <c r="E67" s="617"/>
      <c r="F67" s="617"/>
      <c r="G67" s="617"/>
      <c r="H67" s="617"/>
      <c r="I67" s="617"/>
      <c r="J67" s="617"/>
      <c r="K67" s="617"/>
      <c r="L67" s="617"/>
      <c r="M67" s="617"/>
      <c r="N67" s="617"/>
      <c r="O67" s="617"/>
      <c r="P67" s="617"/>
      <c r="Q67" s="617"/>
      <c r="R67" s="618"/>
      <c r="T67" s="10"/>
      <c r="U67" s="13" t="s">
        <v>811</v>
      </c>
      <c r="V67" s="22" t="s">
        <v>821</v>
      </c>
      <c r="W67" s="408" t="e">
        <f>IF(W42=2,W75/(W28*(1-E18)-W29*charFracC/fuelFracC),IF(W57&gt;0,(AA20-$N23)/(W$57/fuelFracC)*1000/1000000,0))</f>
        <v>#DIV/0!</v>
      </c>
      <c r="X67" s="351" t="s">
        <v>905</v>
      </c>
      <c r="Y67" s="310"/>
      <c r="Z67" s="311"/>
      <c r="AA67" s="407" t="e">
        <f>IF(W42=2,AA75/(AA28*(1-E18)-AA29*charFracC/fuelFracC),IF(AA57&gt;0,(AI20-$N23)/(AA$57/fuelFracC)*1000/1000000,0))</f>
        <v>#DIV/0!</v>
      </c>
      <c r="AB67" s="351" t="s">
        <v>906</v>
      </c>
      <c r="AC67" s="310"/>
      <c r="AD67" s="309"/>
      <c r="AE67" s="407" t="e">
        <f>IF(W42=2,AE75/(AP28*(1-E18)-AP29*charFracC/fuelFracC),IF(AE57&gt;0,(AP20-$N23)/(AE$57/fuelFracC)*1000/1000000,0))</f>
        <v>#DIV/0!</v>
      </c>
      <c r="AF67" s="351" t="s">
        <v>907</v>
      </c>
      <c r="AG67" s="13"/>
      <c r="AH67" s="13"/>
      <c r="AI67" s="271"/>
    </row>
    <row r="68" spans="2:38" ht="15.6" customHeight="1" x14ac:dyDescent="0.15">
      <c r="B68" s="616"/>
      <c r="C68" s="617"/>
      <c r="D68" s="617"/>
      <c r="E68" s="617"/>
      <c r="F68" s="617"/>
      <c r="G68" s="617"/>
      <c r="H68" s="617"/>
      <c r="I68" s="617"/>
      <c r="J68" s="617"/>
      <c r="K68" s="617"/>
      <c r="L68" s="617"/>
      <c r="M68" s="617"/>
      <c r="N68" s="617"/>
      <c r="O68" s="617"/>
      <c r="P68" s="617"/>
      <c r="Q68" s="617"/>
      <c r="R68" s="618"/>
      <c r="T68" s="10"/>
      <c r="U68" s="262" t="s">
        <v>947</v>
      </c>
      <c r="V68" s="13"/>
      <c r="W68" s="2"/>
      <c r="X68" s="22"/>
      <c r="Y68" s="57"/>
      <c r="Z68" s="61"/>
      <c r="AA68" s="312"/>
      <c r="AB68" s="22"/>
      <c r="AC68" s="57"/>
      <c r="AD68" s="13"/>
      <c r="AE68" s="312"/>
      <c r="AF68" s="22"/>
      <c r="AG68" s="13"/>
      <c r="AH68" s="13"/>
      <c r="AI68" s="271"/>
    </row>
    <row r="69" spans="2:38" ht="15.6" customHeight="1" x14ac:dyDescent="0.15">
      <c r="B69" s="616"/>
      <c r="C69" s="617"/>
      <c r="D69" s="617"/>
      <c r="E69" s="617"/>
      <c r="F69" s="617"/>
      <c r="G69" s="617"/>
      <c r="H69" s="617"/>
      <c r="I69" s="617"/>
      <c r="J69" s="617"/>
      <c r="K69" s="617"/>
      <c r="L69" s="617"/>
      <c r="M69" s="617"/>
      <c r="N69" s="617"/>
      <c r="O69" s="617"/>
      <c r="P69" s="617"/>
      <c r="Q69" s="617"/>
      <c r="R69" s="618"/>
      <c r="T69" s="10"/>
      <c r="U69" s="13" t="s">
        <v>812</v>
      </c>
      <c r="V69" s="22" t="s">
        <v>20</v>
      </c>
      <c r="W69" s="93" t="e">
        <f>W65*(W28*(1-$E$18)-W29*charFracC/fuelFracC)/1000</f>
        <v>#DIV/0!</v>
      </c>
      <c r="X69" s="360" t="s">
        <v>914</v>
      </c>
      <c r="Y69" s="361"/>
      <c r="Z69" s="362"/>
      <c r="AA69" s="85" t="e">
        <f>AA65*(AA28*(1-$E$18)-AA29*charFracC/fuelFracC)/1000</f>
        <v>#DIV/0!</v>
      </c>
      <c r="AB69" s="360" t="s">
        <v>915</v>
      </c>
      <c r="AC69" s="361"/>
      <c r="AD69" s="363"/>
      <c r="AE69" s="85" t="e">
        <f>AE65*(AP28*(1-$E$18)-AP29*charFracC/fuelFracC)/1000</f>
        <v>#DIV/0!</v>
      </c>
      <c r="AF69" s="351" t="s">
        <v>916</v>
      </c>
      <c r="AG69" s="13"/>
      <c r="AH69" s="13"/>
      <c r="AI69" s="271"/>
    </row>
    <row r="70" spans="2:38" ht="15.6" customHeight="1" x14ac:dyDescent="0.15">
      <c r="B70" s="613"/>
      <c r="C70" s="614"/>
      <c r="D70" s="614"/>
      <c r="E70" s="614"/>
      <c r="F70" s="614"/>
      <c r="G70" s="614"/>
      <c r="H70" s="614"/>
      <c r="I70" s="614"/>
      <c r="J70" s="614"/>
      <c r="K70" s="614"/>
      <c r="L70" s="614"/>
      <c r="M70" s="614"/>
      <c r="N70" s="614"/>
      <c r="O70" s="614"/>
      <c r="P70" s="614"/>
      <c r="Q70" s="614"/>
      <c r="R70" s="615"/>
      <c r="T70" s="10"/>
      <c r="U70" s="13" t="s">
        <v>810</v>
      </c>
      <c r="V70" s="22" t="s">
        <v>20</v>
      </c>
      <c r="W70" s="401" t="e">
        <f>W66*(W28*(1-$E$18)-W29*charFracC/fuelFracC)/1000</f>
        <v>#DIV/0!</v>
      </c>
      <c r="X70" s="358" t="s">
        <v>911</v>
      </c>
      <c r="Y70" s="337"/>
      <c r="Z70" s="338"/>
      <c r="AA70" s="406" t="e">
        <f>AA66*(AA28*(1-$E$18)-AA29*charFracC/fuelFracC)/1000</f>
        <v>#DIV/0!</v>
      </c>
      <c r="AB70" s="358" t="s">
        <v>912</v>
      </c>
      <c r="AC70" s="337"/>
      <c r="AD70" s="54"/>
      <c r="AE70" s="406" t="e">
        <f>AE66*(AP28*(1-$E$18)-AP29*charFracC/fuelFracC)/1000</f>
        <v>#DIV/0!</v>
      </c>
      <c r="AF70" s="351" t="s">
        <v>913</v>
      </c>
      <c r="AG70" s="13"/>
      <c r="AH70" s="13"/>
      <c r="AI70" s="271"/>
    </row>
    <row r="71" spans="2:38" ht="15.6" customHeight="1" x14ac:dyDescent="0.15">
      <c r="T71" s="10"/>
      <c r="U71" s="13" t="s">
        <v>811</v>
      </c>
      <c r="V71" s="22" t="s">
        <v>20</v>
      </c>
      <c r="W71" s="408" t="e">
        <f>W67*(W28*(1-$E$18)-W29*charFracC/fuelFracC)/1000</f>
        <v>#DIV/0!</v>
      </c>
      <c r="X71" s="359" t="s">
        <v>908</v>
      </c>
      <c r="Y71" s="310"/>
      <c r="Z71" s="311"/>
      <c r="AA71" s="407" t="e">
        <f>AA67*(AA28*(1-$E$18)-AA29*charFracC/fuelFracC)/1000</f>
        <v>#DIV/0!</v>
      </c>
      <c r="AB71" s="359" t="s">
        <v>909</v>
      </c>
      <c r="AC71" s="310"/>
      <c r="AD71" s="309"/>
      <c r="AE71" s="407" t="e">
        <f>AE67*(AP28*(1-$E$18)-AP29*charFracC/fuelFracC)/1000</f>
        <v>#DIV/0!</v>
      </c>
      <c r="AF71" s="351" t="s">
        <v>910</v>
      </c>
      <c r="AG71" s="13"/>
      <c r="AH71" s="13"/>
      <c r="AI71" s="271"/>
    </row>
    <row r="72" spans="2:38" ht="15.6" customHeight="1" x14ac:dyDescent="0.15">
      <c r="T72" s="10"/>
      <c r="U72" s="262" t="s">
        <v>948</v>
      </c>
      <c r="V72" s="13"/>
      <c r="W72" s="312"/>
      <c r="X72" s="22"/>
      <c r="Y72" s="57"/>
      <c r="Z72" s="61"/>
      <c r="AA72" s="2"/>
      <c r="AB72" s="22"/>
      <c r="AC72" s="57"/>
      <c r="AD72" s="13"/>
      <c r="AE72" s="312"/>
      <c r="AF72" s="22"/>
      <c r="AG72" s="13"/>
      <c r="AH72" s="21"/>
    </row>
    <row r="73" spans="2:38" ht="15.6" customHeight="1" x14ac:dyDescent="0.15">
      <c r="T73" s="10"/>
      <c r="U73" s="13" t="s">
        <v>812</v>
      </c>
      <c r="V73" s="22" t="s">
        <v>20</v>
      </c>
      <c r="W73" s="85">
        <f>W55*(AA18-N21)*(44*'General Information'!C22)/(0.008314*(AA21+273.15))/1000000</f>
        <v>0</v>
      </c>
      <c r="X73" s="360" t="s">
        <v>914</v>
      </c>
      <c r="Y73" s="361"/>
      <c r="Z73" s="362"/>
      <c r="AA73" s="93">
        <f>AA55*(AI18-N21)*(44*'General Information'!C22)/(0.008314*(AI21+273.15))/1000000</f>
        <v>0</v>
      </c>
      <c r="AB73" s="360" t="s">
        <v>915</v>
      </c>
      <c r="AC73" s="361"/>
      <c r="AD73" s="363"/>
      <c r="AE73" s="85">
        <f>AE55*(AP18-N21)*(44*'General Information'!C22)/(0.008314*(AP21+273.15))/1000000</f>
        <v>0</v>
      </c>
      <c r="AF73" s="351" t="s">
        <v>916</v>
      </c>
      <c r="AG73" s="13"/>
      <c r="AH73" s="21"/>
    </row>
    <row r="74" spans="2:38" ht="15.6" customHeight="1" x14ac:dyDescent="0.15">
      <c r="T74" s="10"/>
      <c r="U74" s="13" t="s">
        <v>810</v>
      </c>
      <c r="V74" s="22" t="s">
        <v>20</v>
      </c>
      <c r="W74" s="406">
        <f>W55*(AA19-N22)*(28*'General Information'!C22)/(0.008314*(AA21+273.15))/1000000</f>
        <v>0</v>
      </c>
      <c r="X74" s="358" t="s">
        <v>911</v>
      </c>
      <c r="Y74" s="337"/>
      <c r="Z74" s="338"/>
      <c r="AA74" s="401">
        <f>AA55*(AI19-N22)*(28*'General Information'!C22)/(0.008314*(AI21+273.15))/1000000</f>
        <v>0</v>
      </c>
      <c r="AB74" s="358" t="s">
        <v>912</v>
      </c>
      <c r="AC74" s="337"/>
      <c r="AD74" s="54"/>
      <c r="AE74" s="406">
        <f>AE55*(AP19-N22)*(28*'General Information'!C22)/(0.008314*(AP21+273.15))/1000000</f>
        <v>0</v>
      </c>
      <c r="AF74" s="351" t="s">
        <v>913</v>
      </c>
      <c r="AG74" s="13"/>
      <c r="AH74" s="21"/>
    </row>
    <row r="75" spans="2:38" ht="15.6" customHeight="1" thickBot="1" x14ac:dyDescent="0.2">
      <c r="T75" s="10"/>
      <c r="U75" s="13" t="s">
        <v>811</v>
      </c>
      <c r="V75" s="22" t="s">
        <v>20</v>
      </c>
      <c r="W75" s="407">
        <f>W55*(AA20-N23)/1000000</f>
        <v>0</v>
      </c>
      <c r="X75" s="359" t="s">
        <v>908</v>
      </c>
      <c r="Y75" s="310"/>
      <c r="Z75" s="311"/>
      <c r="AA75" s="408">
        <f>AA55*(AI20-N23)/1000000</f>
        <v>0</v>
      </c>
      <c r="AB75" s="359" t="s">
        <v>909</v>
      </c>
      <c r="AC75" s="310"/>
      <c r="AD75" s="309"/>
      <c r="AE75" s="407">
        <f>AE55*(AP20-N23)/1000000</f>
        <v>0</v>
      </c>
      <c r="AF75" s="351" t="s">
        <v>910</v>
      </c>
      <c r="AG75" s="13"/>
      <c r="AH75" s="21"/>
    </row>
    <row r="76" spans="2:38" ht="15.6" customHeight="1" thickTop="1" x14ac:dyDescent="0.15">
      <c r="T76" s="258"/>
      <c r="U76" s="259" t="s">
        <v>818</v>
      </c>
      <c r="V76" s="259"/>
      <c r="W76" s="313"/>
      <c r="X76" s="352"/>
      <c r="Y76" s="259"/>
      <c r="Z76" s="259"/>
      <c r="AA76" s="259"/>
      <c r="AB76" s="259"/>
      <c r="AC76" s="259"/>
      <c r="AD76" s="259"/>
      <c r="AE76" s="259"/>
      <c r="AF76" s="259"/>
      <c r="AG76" s="259"/>
      <c r="AH76" s="297"/>
    </row>
    <row r="77" spans="2:38" ht="15" customHeight="1" x14ac:dyDescent="0.15">
      <c r="T77" s="10"/>
      <c r="U77" s="13" t="s">
        <v>819</v>
      </c>
      <c r="V77" s="13" t="s">
        <v>20</v>
      </c>
      <c r="W77" s="406" t="e">
        <f>(IF(ISERROR(AA$38),W62,AVERAGE(W62,AA62))+AE62)*5</f>
        <v>#DIV/0!</v>
      </c>
      <c r="X77" s="22" t="s">
        <v>917</v>
      </c>
      <c r="Y77" s="13"/>
      <c r="Z77" s="13"/>
      <c r="AA77" s="13"/>
      <c r="AB77" s="13"/>
      <c r="AC77" s="13"/>
      <c r="AD77" s="13"/>
      <c r="AE77" s="13"/>
      <c r="AF77" s="13"/>
      <c r="AG77" s="13"/>
      <c r="AH77" s="21"/>
    </row>
    <row r="78" spans="2:38" ht="15" customHeight="1" thickBot="1" x14ac:dyDescent="0.2">
      <c r="T78" s="113"/>
      <c r="U78" s="114" t="s">
        <v>820</v>
      </c>
      <c r="V78" s="114" t="s">
        <v>20</v>
      </c>
      <c r="W78" s="409" t="e">
        <f>(IF(ISERROR(AA$38),W63,AVERAGE(W63,AA63))+AE63)*5</f>
        <v>#DIV/0!</v>
      </c>
      <c r="X78" s="115" t="s">
        <v>918</v>
      </c>
      <c r="Y78" s="114"/>
      <c r="Z78" s="114"/>
      <c r="AA78" s="114"/>
      <c r="AB78" s="114"/>
      <c r="AC78" s="114"/>
      <c r="AD78" s="114"/>
      <c r="AE78" s="114"/>
      <c r="AF78" s="114"/>
      <c r="AG78" s="114"/>
      <c r="AH78" s="298"/>
    </row>
    <row r="79" spans="2:38" ht="15" customHeight="1" thickTop="1" x14ac:dyDescent="0.15"/>
  </sheetData>
  <mergeCells count="82">
    <mergeCell ref="A2:S2"/>
    <mergeCell ref="W2:AB2"/>
    <mergeCell ref="AE2:AJ2"/>
    <mergeCell ref="AL2:AQ2"/>
    <mergeCell ref="W3:X3"/>
    <mergeCell ref="AA3:AB3"/>
    <mergeCell ref="AE3:AF3"/>
    <mergeCell ref="AI3:AJ3"/>
    <mergeCell ref="AL3:AM3"/>
    <mergeCell ref="D10:K10"/>
    <mergeCell ref="AP3:AQ3"/>
    <mergeCell ref="AA4:AB4"/>
    <mergeCell ref="AI4:AJ4"/>
    <mergeCell ref="AL4:AM4"/>
    <mergeCell ref="AP4:AQ4"/>
    <mergeCell ref="D6:K6"/>
    <mergeCell ref="M6:P6"/>
    <mergeCell ref="D7:K7"/>
    <mergeCell ref="M7:P7"/>
    <mergeCell ref="D8:K8"/>
    <mergeCell ref="M8:P8"/>
    <mergeCell ref="D9:K9"/>
    <mergeCell ref="D11:K11"/>
    <mergeCell ref="B14:D14"/>
    <mergeCell ref="B15:D15"/>
    <mergeCell ref="K15:M15"/>
    <mergeCell ref="B16:D16"/>
    <mergeCell ref="K16:M16"/>
    <mergeCell ref="B23:D23"/>
    <mergeCell ref="W16:X16"/>
    <mergeCell ref="AE16:AF16"/>
    <mergeCell ref="AL16:AM16"/>
    <mergeCell ref="E17:G17"/>
    <mergeCell ref="K17:M17"/>
    <mergeCell ref="B18:D18"/>
    <mergeCell ref="K18:M18"/>
    <mergeCell ref="B19:D19"/>
    <mergeCell ref="K19:M19"/>
    <mergeCell ref="B20:D20"/>
    <mergeCell ref="K20:M20"/>
    <mergeCell ref="B21:D21"/>
    <mergeCell ref="B42:R42"/>
    <mergeCell ref="B33:R33"/>
    <mergeCell ref="B41:R41"/>
    <mergeCell ref="E25:R25"/>
    <mergeCell ref="B26:R26"/>
    <mergeCell ref="B27:R27"/>
    <mergeCell ref="B29:R29"/>
    <mergeCell ref="B30:R30"/>
    <mergeCell ref="B31:R31"/>
    <mergeCell ref="B28:R28"/>
    <mergeCell ref="B32:R32"/>
    <mergeCell ref="B34:R34"/>
    <mergeCell ref="B35:R35"/>
    <mergeCell ref="B39:R39"/>
    <mergeCell ref="B40:R40"/>
    <mergeCell ref="B58:R58"/>
    <mergeCell ref="B52:R52"/>
    <mergeCell ref="B57:R57"/>
    <mergeCell ref="B43:R43"/>
    <mergeCell ref="B44:R44"/>
    <mergeCell ref="B45:R45"/>
    <mergeCell ref="B47:R47"/>
    <mergeCell ref="B48:R48"/>
    <mergeCell ref="B50:R50"/>
    <mergeCell ref="B46:R46"/>
    <mergeCell ref="B51:R51"/>
    <mergeCell ref="B53:R53"/>
    <mergeCell ref="B54:R54"/>
    <mergeCell ref="B55:R55"/>
    <mergeCell ref="B56:R56"/>
    <mergeCell ref="B67:R67"/>
    <mergeCell ref="B69:R69"/>
    <mergeCell ref="B70:R70"/>
    <mergeCell ref="B59:R59"/>
    <mergeCell ref="B61:R61"/>
    <mergeCell ref="B62:R62"/>
    <mergeCell ref="B64:R64"/>
    <mergeCell ref="B65:R65"/>
    <mergeCell ref="B66:R66"/>
    <mergeCell ref="B63:R63"/>
    <mergeCell ref="B68:R68"/>
  </mergeCells>
  <conditionalFormatting sqref="W28:W40 AA28:AA40 AP28:AP41 AE44:AF51 W55:W75 AA55:AA75 AE55:AE75 W77:W78">
    <cfRule type="containsErrors" dxfId="6" priority="1" stopIfTrue="1">
      <formula>ISERROR(W28)</formula>
    </cfRule>
  </conditionalFormatting>
  <pageMargins left="0.74791666666666667" right="0.74791666666666667" top="0.75" bottom="0.75" header="0.51180555555555551" footer="0.5"/>
  <pageSetup scale="90" firstPageNumber="0" orientation="landscape" horizontalDpi="300" verticalDpi="300" r:id="rId1"/>
  <headerFooter alignWithMargins="0">
    <oddFooter>&amp;L&amp;F&amp;C&amp;A&amp;RPage &amp;P</oddFooter>
  </headerFooter>
  <rowBreaks count="1" manualBreakCount="1">
    <brk id="37" max="16383" man="1"/>
  </rowBreaks>
  <colBreaks count="2" manualBreakCount="2">
    <brk id="19" max="1048575" man="1"/>
    <brk id="52" max="1048575" man="1"/>
  </colBreaks>
  <ignoredErrors>
    <ignoredError sqref="E19 E22:E23 N20 D9:K11"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0481" r:id="rId4" name="ComboBox">
              <controlPr defaultSize="0" autoFill="0" autoLine="0" autoPict="0">
                <anchor moveWithCells="1" sizeWithCells="1">
                  <from>
                    <xdr:col>3</xdr:col>
                    <xdr:colOff>838200</xdr:colOff>
                    <xdr:row>15</xdr:row>
                    <xdr:rowOff>28575</xdr:rowOff>
                  </from>
                  <to>
                    <xdr:col>7</xdr:col>
                    <xdr:colOff>123825</xdr:colOff>
                    <xdr:row>16</xdr:row>
                    <xdr:rowOff>28575</xdr:rowOff>
                  </to>
                </anchor>
              </controlPr>
            </control>
          </mc:Choice>
        </mc:AlternateContent>
        <mc:AlternateContent xmlns:mc="http://schemas.openxmlformats.org/markup-compatibility/2006">
          <mc:Choice Requires="x14">
            <control shapeId="20482" r:id="rId5" name="Drop Down 2">
              <controlPr defaultSize="0" autoLine="0" autoPict="0">
                <anchor moveWithCells="1">
                  <from>
                    <xdr:col>21</xdr:col>
                    <xdr:colOff>0</xdr:colOff>
                    <xdr:row>41</xdr:row>
                    <xdr:rowOff>9525</xdr:rowOff>
                  </from>
                  <to>
                    <xdr:col>22</xdr:col>
                    <xdr:colOff>619125</xdr:colOff>
                    <xdr:row>42</xdr:row>
                    <xdr:rowOff>9525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A1:DU79"/>
  <sheetViews>
    <sheetView showGridLines="0" showZeros="0" zoomScaleNormal="100" zoomScaleSheetLayoutView="100" workbookViewId="0">
      <selection activeCell="D6" sqref="D6:K6"/>
    </sheetView>
  </sheetViews>
  <sheetFormatPr defaultColWidth="15.640625" defaultRowHeight="27.95" customHeight="1" x14ac:dyDescent="0.15"/>
  <cols>
    <col min="1" max="1" width="1.75" style="1" customWidth="1"/>
    <col min="2" max="2" width="14.5625" style="1" customWidth="1"/>
    <col min="3" max="3" width="6.60546875" style="2" customWidth="1"/>
    <col min="4" max="4" width="12.67578125" style="1" customWidth="1"/>
    <col min="5" max="5" width="8.08984375" style="1" customWidth="1"/>
    <col min="6" max="6" width="2.01953125" style="1" customWidth="1"/>
    <col min="7" max="7" width="5.93359375" style="1" customWidth="1"/>
    <col min="8" max="8" width="2.01953125" style="2" customWidth="1"/>
    <col min="9" max="9" width="7.28125" style="2" customWidth="1"/>
    <col min="10" max="10" width="1.75" style="2" customWidth="1"/>
    <col min="11" max="11" width="14.42578125" style="2" customWidth="1"/>
    <col min="12" max="12" width="5.66015625" style="2" customWidth="1"/>
    <col min="13" max="13" width="14.5625" style="2" customWidth="1"/>
    <col min="14" max="14" width="7.68359375" style="2" customWidth="1"/>
    <col min="15" max="15" width="2.01953125" style="2" customWidth="1"/>
    <col min="16" max="16" width="6.60546875" style="2" customWidth="1"/>
    <col min="17" max="17" width="2.01953125" style="2" customWidth="1"/>
    <col min="18" max="18" width="7.28125" style="2" customWidth="1"/>
    <col min="19" max="19" width="1.75" style="1" customWidth="1"/>
    <col min="20" max="20" width="1.75" style="3" customWidth="1"/>
    <col min="21" max="21" width="25.484375" style="3" customWidth="1"/>
    <col min="22" max="22" width="13.88671875" style="3" bestFit="1" customWidth="1"/>
    <col min="23" max="23" width="12" style="3" customWidth="1"/>
    <col min="24" max="24" width="5.390625" style="3" customWidth="1"/>
    <col min="25" max="25" width="0.5390625" style="3" customWidth="1"/>
    <col min="26" max="26" width="0.80859375" style="3" customWidth="1"/>
    <col min="27" max="27" width="8.76171875" style="3" customWidth="1"/>
    <col min="28" max="28" width="6.7421875" style="3" customWidth="1"/>
    <col min="29" max="30" width="0.80859375" style="3" customWidth="1"/>
    <col min="31" max="31" width="8.08984375" style="3" customWidth="1"/>
    <col min="32" max="32" width="5.796875" style="3" customWidth="1"/>
    <col min="33" max="33" width="0.80859375" style="3" customWidth="1"/>
    <col min="34" max="34" width="0.671875" style="3" customWidth="1"/>
    <col min="35" max="35" width="8.08984375" style="3" customWidth="1"/>
    <col min="36" max="36" width="5.12109375" style="3" customWidth="1"/>
    <col min="37" max="37" width="0.80859375" style="3" customWidth="1"/>
    <col min="38" max="38" width="8.62890625" style="3" customWidth="1"/>
    <col min="39" max="39" width="7.28125" style="3" customWidth="1"/>
    <col min="40" max="41" width="0.94140625" style="3" customWidth="1"/>
    <col min="42" max="42" width="8.08984375" style="3" customWidth="1"/>
    <col min="43" max="43" width="6.203125" style="3" customWidth="1"/>
    <col min="44" max="44" width="1.75" style="3" customWidth="1"/>
    <col min="45" max="45" width="8.359375" customWidth="1"/>
    <col min="46" max="46" width="5.796875" customWidth="1"/>
    <col min="47" max="47" width="6.47265625" customWidth="1"/>
    <col min="48" max="48" width="5.390625" customWidth="1"/>
    <col min="49" max="49" width="6.7421875" customWidth="1"/>
    <col min="50" max="50" width="7.4140625" customWidth="1"/>
    <col min="51" max="51" width="20.90234375" customWidth="1"/>
    <col min="52" max="53" width="1.75" customWidth="1"/>
    <col min="54" max="54" width="33.7109375" customWidth="1"/>
    <col min="55" max="55" width="5.796875" customWidth="1"/>
    <col min="56" max="56" width="6.47265625" customWidth="1"/>
    <col min="57" max="57" width="5.390625" customWidth="1"/>
    <col min="58" max="58" width="6.7421875" customWidth="1"/>
    <col min="59" max="59" width="7.4140625" customWidth="1"/>
    <col min="60" max="60" width="20.90234375" customWidth="1"/>
    <col min="61" max="61" width="0" hidden="1" customWidth="1"/>
    <col min="62" max="70" width="9.03515625" customWidth="1"/>
    <col min="71" max="122" width="8.8984375" customWidth="1"/>
    <col min="123" max="16384" width="15.640625" style="1"/>
  </cols>
  <sheetData>
    <row r="1" spans="1:125" ht="6" customHeight="1" thickTop="1" thickBot="1" x14ac:dyDescent="0.2">
      <c r="A1" s="4"/>
      <c r="B1" s="5"/>
      <c r="C1" s="5"/>
      <c r="D1" s="5"/>
      <c r="E1" s="5"/>
      <c r="F1" s="5"/>
      <c r="G1" s="5"/>
      <c r="H1" s="5"/>
      <c r="I1" s="5"/>
      <c r="J1" s="5"/>
      <c r="K1" s="5"/>
      <c r="L1" s="5"/>
      <c r="M1" s="5"/>
      <c r="N1" s="5"/>
      <c r="O1" s="5"/>
      <c r="P1" s="5"/>
      <c r="Q1" s="5"/>
      <c r="R1" s="5"/>
      <c r="S1" s="6"/>
      <c r="T1" s="7"/>
      <c r="U1" s="8"/>
      <c r="V1" s="8"/>
      <c r="W1" s="8"/>
      <c r="X1" s="8"/>
      <c r="Y1" s="8"/>
      <c r="Z1" s="8"/>
      <c r="AA1" s="8"/>
      <c r="AB1" s="8"/>
      <c r="AC1" s="8"/>
      <c r="AD1" s="8"/>
      <c r="AE1" s="8"/>
      <c r="AF1" s="8"/>
      <c r="AG1" s="8"/>
      <c r="AH1" s="8"/>
      <c r="AI1" s="8"/>
      <c r="AJ1" s="8"/>
      <c r="AK1" s="8"/>
      <c r="AL1" s="8"/>
      <c r="AM1" s="8"/>
      <c r="AN1" s="8"/>
      <c r="AO1" s="8"/>
      <c r="AP1" s="8"/>
      <c r="AQ1" s="8"/>
      <c r="AR1" s="9"/>
      <c r="AS1" s="25"/>
      <c r="AT1" s="2"/>
      <c r="DS1"/>
      <c r="DT1"/>
      <c r="DU1"/>
    </row>
    <row r="2" spans="1:125" ht="13.5" customHeight="1" thickBot="1" x14ac:dyDescent="0.2">
      <c r="A2" s="637" t="str">
        <f>"WATER BOILING TEST - VERSION "&amp;version&amp;" - TEST #9"</f>
        <v>WATER BOILING TEST - VERSION 4.2.3 - TEST #9</v>
      </c>
      <c r="B2" s="637"/>
      <c r="C2" s="637"/>
      <c r="D2" s="637"/>
      <c r="E2" s="637"/>
      <c r="F2" s="637"/>
      <c r="G2" s="637"/>
      <c r="H2" s="637"/>
      <c r="I2" s="637"/>
      <c r="J2" s="637"/>
      <c r="K2" s="637"/>
      <c r="L2" s="637"/>
      <c r="M2" s="637"/>
      <c r="N2" s="637"/>
      <c r="O2" s="637"/>
      <c r="P2" s="637"/>
      <c r="Q2" s="637"/>
      <c r="R2" s="637"/>
      <c r="S2" s="637"/>
      <c r="T2" s="10"/>
      <c r="U2" s="255" t="str">
        <f>"TEST #9 "&amp;D7</f>
        <v xml:space="preserve">TEST #9 </v>
      </c>
      <c r="V2" s="11"/>
      <c r="W2" s="638" t="s">
        <v>0</v>
      </c>
      <c r="X2" s="638"/>
      <c r="Y2" s="638"/>
      <c r="Z2" s="638"/>
      <c r="AA2" s="638"/>
      <c r="AB2" s="638"/>
      <c r="AC2" s="256"/>
      <c r="AD2" s="12"/>
      <c r="AE2" s="638" t="s">
        <v>1</v>
      </c>
      <c r="AF2" s="638"/>
      <c r="AG2" s="638"/>
      <c r="AH2" s="638"/>
      <c r="AI2" s="638"/>
      <c r="AJ2" s="638"/>
      <c r="AK2" s="13"/>
      <c r="AL2" s="638" t="s">
        <v>2</v>
      </c>
      <c r="AM2" s="638"/>
      <c r="AN2" s="638"/>
      <c r="AO2" s="638"/>
      <c r="AP2" s="638"/>
      <c r="AQ2" s="638"/>
      <c r="AR2" s="14"/>
    </row>
    <row r="3" spans="1:125" ht="12.75" customHeight="1" x14ac:dyDescent="0.15">
      <c r="A3" s="16"/>
      <c r="B3" s="17" t="s">
        <v>748</v>
      </c>
      <c r="C3" s="17"/>
      <c r="D3" s="17"/>
      <c r="E3" s="17"/>
      <c r="F3" s="17"/>
      <c r="G3" s="17"/>
      <c r="H3" s="17"/>
      <c r="I3" s="17"/>
      <c r="J3" s="17"/>
      <c r="K3" s="17"/>
      <c r="L3" s="17"/>
      <c r="M3" s="17"/>
      <c r="N3" s="17"/>
      <c r="O3" s="17"/>
      <c r="P3" s="17"/>
      <c r="Q3" s="17"/>
      <c r="R3" s="17"/>
      <c r="S3" s="18"/>
      <c r="T3" s="19"/>
      <c r="U3" s="20"/>
      <c r="V3" s="21"/>
      <c r="W3" s="641" t="s">
        <v>3</v>
      </c>
      <c r="X3" s="641"/>
      <c r="Y3" s="23"/>
      <c r="Z3" s="13"/>
      <c r="AA3" s="642" t="s">
        <v>4</v>
      </c>
      <c r="AB3" s="642"/>
      <c r="AC3" s="24"/>
      <c r="AD3" s="12"/>
      <c r="AE3" s="643" t="s">
        <v>3</v>
      </c>
      <c r="AF3" s="643"/>
      <c r="AG3" s="23"/>
      <c r="AH3" s="13"/>
      <c r="AI3" s="642" t="s">
        <v>4</v>
      </c>
      <c r="AJ3" s="642"/>
      <c r="AK3" s="12"/>
      <c r="AL3" s="639" t="s">
        <v>3</v>
      </c>
      <c r="AM3" s="639"/>
      <c r="AN3" s="23"/>
      <c r="AO3" s="13"/>
      <c r="AP3" s="640" t="s">
        <v>5</v>
      </c>
      <c r="AQ3" s="640"/>
      <c r="AR3" s="14"/>
    </row>
    <row r="4" spans="1:125" ht="12.75" customHeight="1" x14ac:dyDescent="0.15">
      <c r="A4" s="25"/>
      <c r="B4" s="26" t="s">
        <v>749</v>
      </c>
      <c r="C4" s="26"/>
      <c r="D4" s="26"/>
      <c r="E4" s="26"/>
      <c r="F4" s="26"/>
      <c r="G4" s="26"/>
      <c r="H4" s="26"/>
      <c r="I4" s="26"/>
      <c r="J4" s="27"/>
      <c r="K4" s="27"/>
      <c r="L4" s="27"/>
      <c r="M4" s="27"/>
      <c r="N4" s="27"/>
      <c r="O4" s="27"/>
      <c r="P4" s="27"/>
      <c r="Q4" s="27"/>
      <c r="R4" s="27"/>
      <c r="S4" s="15"/>
      <c r="T4" s="28"/>
      <c r="U4" s="29"/>
      <c r="V4" s="30"/>
      <c r="W4" s="31"/>
      <c r="X4" s="31"/>
      <c r="Y4" s="32"/>
      <c r="Z4" s="33"/>
      <c r="AA4" s="631" t="s">
        <v>6</v>
      </c>
      <c r="AB4" s="631"/>
      <c r="AC4" s="24"/>
      <c r="AD4" s="12"/>
      <c r="AE4" s="31"/>
      <c r="AF4" s="31"/>
      <c r="AG4" s="32"/>
      <c r="AH4" s="33"/>
      <c r="AI4" s="631" t="s">
        <v>6</v>
      </c>
      <c r="AJ4" s="631"/>
      <c r="AK4" s="12"/>
      <c r="AL4" s="633"/>
      <c r="AM4" s="633"/>
      <c r="AN4" s="34"/>
      <c r="AO4" s="31"/>
      <c r="AP4" s="644"/>
      <c r="AQ4" s="644"/>
      <c r="AR4" s="14"/>
    </row>
    <row r="5" spans="1:125" ht="13.5" customHeight="1" thickBot="1" x14ac:dyDescent="0.2">
      <c r="A5" s="25"/>
      <c r="B5" s="35" t="s">
        <v>7</v>
      </c>
      <c r="D5" s="2"/>
      <c r="E5" s="2"/>
      <c r="F5" s="2"/>
      <c r="G5" s="2"/>
      <c r="S5" s="15"/>
      <c r="T5" s="28"/>
      <c r="U5" s="36" t="s">
        <v>8</v>
      </c>
      <c r="V5" s="37" t="s">
        <v>9</v>
      </c>
      <c r="W5" s="38" t="s">
        <v>10</v>
      </c>
      <c r="X5" s="38" t="s">
        <v>11</v>
      </c>
      <c r="Y5" s="39"/>
      <c r="Z5" s="38"/>
      <c r="AA5" s="38" t="s">
        <v>10</v>
      </c>
      <c r="AB5" s="37" t="s">
        <v>11</v>
      </c>
      <c r="AC5" s="24"/>
      <c r="AD5" s="12"/>
      <c r="AE5" s="38" t="s">
        <v>10</v>
      </c>
      <c r="AF5" s="38" t="s">
        <v>11</v>
      </c>
      <c r="AG5" s="40"/>
      <c r="AH5" s="41"/>
      <c r="AI5" s="38" t="s">
        <v>10</v>
      </c>
      <c r="AJ5" s="37" t="s">
        <v>11</v>
      </c>
      <c r="AK5" s="12"/>
      <c r="AL5" s="38" t="s">
        <v>10</v>
      </c>
      <c r="AM5" s="38" t="s">
        <v>11</v>
      </c>
      <c r="AN5" s="40"/>
      <c r="AO5" s="41"/>
      <c r="AP5" s="38" t="s">
        <v>10</v>
      </c>
      <c r="AQ5" s="37" t="s">
        <v>11</v>
      </c>
      <c r="AR5" s="14"/>
    </row>
    <row r="6" spans="1:125" ht="15.75" customHeight="1" x14ac:dyDescent="0.2">
      <c r="A6" s="25"/>
      <c r="B6" s="2" t="s">
        <v>12</v>
      </c>
      <c r="D6" s="629"/>
      <c r="E6" s="629"/>
      <c r="F6" s="629"/>
      <c r="G6" s="629"/>
      <c r="H6" s="629"/>
      <c r="I6" s="629"/>
      <c r="J6" s="629"/>
      <c r="K6" s="629"/>
      <c r="M6" s="635" t="s">
        <v>834</v>
      </c>
      <c r="N6" s="635"/>
      <c r="O6" s="635"/>
      <c r="P6" s="635"/>
      <c r="Q6" s="265"/>
      <c r="R6" s="265"/>
      <c r="S6" s="15"/>
      <c r="T6" s="28"/>
      <c r="U6" s="30" t="s">
        <v>716</v>
      </c>
      <c r="V6" s="24" t="s">
        <v>13</v>
      </c>
      <c r="W6" s="42"/>
      <c r="X6" s="43" t="s">
        <v>14</v>
      </c>
      <c r="Y6" s="44"/>
      <c r="Z6" s="43"/>
      <c r="AA6" s="42"/>
      <c r="AB6" s="45" t="s">
        <v>15</v>
      </c>
      <c r="AC6" s="45"/>
      <c r="AD6" s="12"/>
      <c r="AE6" s="42"/>
      <c r="AF6" s="43" t="s">
        <v>16</v>
      </c>
      <c r="AG6" s="46"/>
      <c r="AH6" s="13"/>
      <c r="AI6" s="42"/>
      <c r="AJ6" s="45" t="s">
        <v>17</v>
      </c>
      <c r="AK6" s="12"/>
      <c r="AL6" s="42"/>
      <c r="AM6" s="43" t="s">
        <v>18</v>
      </c>
      <c r="AN6" s="46"/>
      <c r="AO6" s="13"/>
      <c r="AP6" s="42"/>
      <c r="AQ6" s="45" t="s">
        <v>19</v>
      </c>
      <c r="AR6" s="14"/>
    </row>
    <row r="7" spans="1:125" ht="15.75" customHeight="1" x14ac:dyDescent="0.2">
      <c r="A7" s="25"/>
      <c r="B7" s="2" t="s">
        <v>27</v>
      </c>
      <c r="D7" s="629"/>
      <c r="E7" s="629"/>
      <c r="F7" s="629"/>
      <c r="G7" s="629"/>
      <c r="H7" s="629"/>
      <c r="I7" s="629"/>
      <c r="J7" s="629"/>
      <c r="K7" s="629"/>
      <c r="M7" s="663" t="s">
        <v>969</v>
      </c>
      <c r="N7" s="663"/>
      <c r="O7" s="663"/>
      <c r="P7" s="663"/>
      <c r="Q7" s="265"/>
      <c r="R7" s="265"/>
      <c r="S7" s="15"/>
      <c r="T7" s="28"/>
      <c r="U7" s="30" t="s">
        <v>873</v>
      </c>
      <c r="V7" s="24" t="s">
        <v>20</v>
      </c>
      <c r="W7" s="47"/>
      <c r="X7" s="43" t="s">
        <v>21</v>
      </c>
      <c r="Y7" s="44"/>
      <c r="Z7" s="43"/>
      <c r="AA7" s="47"/>
      <c r="AB7" s="45" t="s">
        <v>22</v>
      </c>
      <c r="AC7" s="45"/>
      <c r="AD7" s="12"/>
      <c r="AE7" s="47"/>
      <c r="AF7" s="43" t="s">
        <v>23</v>
      </c>
      <c r="AG7" s="46"/>
      <c r="AH7" s="13"/>
      <c r="AI7" s="47"/>
      <c r="AJ7" s="45" t="s">
        <v>24</v>
      </c>
      <c r="AK7" s="12"/>
      <c r="AL7" s="47"/>
      <c r="AM7" s="43" t="s">
        <v>25</v>
      </c>
      <c r="AN7" s="46"/>
      <c r="AO7" s="13"/>
      <c r="AP7" s="47"/>
      <c r="AQ7" s="45" t="s">
        <v>26</v>
      </c>
      <c r="AR7" s="14"/>
    </row>
    <row r="8" spans="1:125" ht="15.75" customHeight="1" x14ac:dyDescent="0.2">
      <c r="A8" s="25"/>
      <c r="B8" s="2" t="s">
        <v>36</v>
      </c>
      <c r="D8" s="628"/>
      <c r="E8" s="629"/>
      <c r="F8" s="629"/>
      <c r="G8" s="629"/>
      <c r="H8" s="629"/>
      <c r="I8" s="629"/>
      <c r="J8" s="629"/>
      <c r="K8" s="629"/>
      <c r="M8" s="656" t="s">
        <v>953</v>
      </c>
      <c r="N8" s="656"/>
      <c r="O8" s="656"/>
      <c r="P8" s="656"/>
      <c r="Q8" s="265"/>
      <c r="R8" s="265"/>
      <c r="S8" s="15"/>
      <c r="T8" s="28"/>
      <c r="U8" s="30" t="s">
        <v>28</v>
      </c>
      <c r="V8" s="24" t="s">
        <v>29</v>
      </c>
      <c r="W8" s="48"/>
      <c r="X8" s="49" t="s">
        <v>30</v>
      </c>
      <c r="Y8" s="50"/>
      <c r="Z8" s="49"/>
      <c r="AA8" s="48"/>
      <c r="AB8" s="51" t="s">
        <v>31</v>
      </c>
      <c r="AC8" s="51"/>
      <c r="AD8" s="52"/>
      <c r="AE8" s="48"/>
      <c r="AF8" s="49" t="s">
        <v>32</v>
      </c>
      <c r="AG8" s="53"/>
      <c r="AH8" s="54"/>
      <c r="AI8" s="48"/>
      <c r="AJ8" s="45" t="s">
        <v>33</v>
      </c>
      <c r="AK8" s="12"/>
      <c r="AL8" s="48"/>
      <c r="AM8" s="43" t="s">
        <v>34</v>
      </c>
      <c r="AN8" s="46"/>
      <c r="AO8" s="13"/>
      <c r="AP8" s="48"/>
      <c r="AQ8" s="45" t="s">
        <v>35</v>
      </c>
      <c r="AR8" s="14"/>
    </row>
    <row r="9" spans="1:125" ht="15.75" customHeight="1" x14ac:dyDescent="0.2">
      <c r="A9" s="25"/>
      <c r="B9" s="2" t="s">
        <v>50</v>
      </c>
      <c r="D9" s="630">
        <f>'General Information'!C7</f>
        <v>0</v>
      </c>
      <c r="E9" s="630"/>
      <c r="F9" s="630"/>
      <c r="G9" s="630"/>
      <c r="H9" s="630"/>
      <c r="I9" s="630"/>
      <c r="J9" s="630"/>
      <c r="K9" s="630"/>
      <c r="M9" s="265"/>
      <c r="N9" s="265"/>
      <c r="O9" s="265"/>
      <c r="P9" s="265"/>
      <c r="Q9" s="265"/>
      <c r="R9" s="265"/>
      <c r="S9" s="15"/>
      <c r="T9" s="28"/>
      <c r="U9" s="55" t="s">
        <v>37</v>
      </c>
      <c r="V9" s="24" t="s">
        <v>29</v>
      </c>
      <c r="W9" s="48"/>
      <c r="X9" s="49" t="s">
        <v>185</v>
      </c>
      <c r="Y9" s="50"/>
      <c r="Z9" s="49"/>
      <c r="AA9" s="48"/>
      <c r="AB9" s="51" t="s">
        <v>38</v>
      </c>
      <c r="AC9" s="51"/>
      <c r="AD9" s="52"/>
      <c r="AE9" s="48"/>
      <c r="AF9" s="49" t="s">
        <v>39</v>
      </c>
      <c r="AG9" s="53"/>
      <c r="AH9" s="54"/>
      <c r="AI9" s="48"/>
      <c r="AJ9" s="45" t="s">
        <v>40</v>
      </c>
      <c r="AK9" s="12"/>
      <c r="AL9" s="48"/>
      <c r="AM9" s="56" t="s">
        <v>41</v>
      </c>
      <c r="AN9" s="57"/>
      <c r="AO9" s="58"/>
      <c r="AP9" s="48"/>
      <c r="AQ9" s="59" t="s">
        <v>42</v>
      </c>
      <c r="AR9" s="14"/>
    </row>
    <row r="10" spans="1:125" ht="15.75" customHeight="1" x14ac:dyDescent="0.2">
      <c r="A10" s="25"/>
      <c r="B10" s="2" t="s">
        <v>43</v>
      </c>
      <c r="D10" s="632">
        <f>'General Information'!C10</f>
        <v>0</v>
      </c>
      <c r="E10" s="632"/>
      <c r="F10" s="632"/>
      <c r="G10" s="632"/>
      <c r="H10" s="632"/>
      <c r="I10" s="632"/>
      <c r="J10" s="632"/>
      <c r="K10" s="632"/>
      <c r="S10" s="15"/>
      <c r="T10" s="28"/>
      <c r="U10" s="55" t="s">
        <v>44</v>
      </c>
      <c r="V10" s="24" t="s">
        <v>29</v>
      </c>
      <c r="W10" s="48"/>
      <c r="X10" s="49" t="s">
        <v>186</v>
      </c>
      <c r="Y10" s="50"/>
      <c r="Z10" s="49"/>
      <c r="AA10" s="48"/>
      <c r="AB10" s="51" t="s">
        <v>45</v>
      </c>
      <c r="AC10" s="51"/>
      <c r="AD10" s="52"/>
      <c r="AE10" s="48"/>
      <c r="AF10" s="49" t="s">
        <v>46</v>
      </c>
      <c r="AG10" s="53"/>
      <c r="AH10" s="54"/>
      <c r="AI10" s="48"/>
      <c r="AJ10" s="45" t="s">
        <v>47</v>
      </c>
      <c r="AK10" s="12"/>
      <c r="AL10" s="48"/>
      <c r="AM10" s="56" t="s">
        <v>48</v>
      </c>
      <c r="AN10" s="57"/>
      <c r="AO10" s="58"/>
      <c r="AP10" s="48"/>
      <c r="AQ10" s="59" t="s">
        <v>49</v>
      </c>
      <c r="AR10" s="14"/>
    </row>
    <row r="11" spans="1:125" ht="15.75" customHeight="1" x14ac:dyDescent="0.2">
      <c r="A11" s="25"/>
      <c r="B11" s="2" t="s">
        <v>58</v>
      </c>
      <c r="D11" s="645">
        <f>'General Information'!J3</f>
        <v>0</v>
      </c>
      <c r="E11" s="645"/>
      <c r="F11" s="645"/>
      <c r="G11" s="645"/>
      <c r="H11" s="645"/>
      <c r="I11" s="645"/>
      <c r="J11" s="645"/>
      <c r="K11" s="645"/>
      <c r="S11" s="15"/>
      <c r="T11" s="28"/>
      <c r="U11" s="55" t="s">
        <v>51</v>
      </c>
      <c r="V11" s="24" t="s">
        <v>29</v>
      </c>
      <c r="W11" s="48"/>
      <c r="X11" s="49" t="s">
        <v>52</v>
      </c>
      <c r="Y11" s="50"/>
      <c r="Z11" s="49"/>
      <c r="AA11" s="48"/>
      <c r="AB11" s="51" t="s">
        <v>53</v>
      </c>
      <c r="AC11" s="51"/>
      <c r="AD11" s="52"/>
      <c r="AE11" s="48"/>
      <c r="AF11" s="49" t="s">
        <v>54</v>
      </c>
      <c r="AG11" s="53"/>
      <c r="AH11" s="54"/>
      <c r="AI11" s="48"/>
      <c r="AJ11" s="45" t="s">
        <v>55</v>
      </c>
      <c r="AK11" s="12"/>
      <c r="AL11" s="48"/>
      <c r="AM11" s="56" t="s">
        <v>56</v>
      </c>
      <c r="AN11" s="57"/>
      <c r="AO11" s="58"/>
      <c r="AP11" s="48"/>
      <c r="AQ11" s="59" t="s">
        <v>57</v>
      </c>
      <c r="AR11" s="14"/>
    </row>
    <row r="12" spans="1:125" ht="15.75" customHeight="1" x14ac:dyDescent="0.2">
      <c r="A12" s="25"/>
      <c r="B12" s="2"/>
      <c r="D12" s="60"/>
      <c r="E12" s="60"/>
      <c r="F12" s="60"/>
      <c r="G12" s="60"/>
      <c r="H12" s="60"/>
      <c r="I12" s="60"/>
      <c r="J12" s="60"/>
      <c r="S12" s="15"/>
      <c r="T12" s="28"/>
      <c r="U12" s="30" t="s">
        <v>59</v>
      </c>
      <c r="V12" s="24" t="s">
        <v>20</v>
      </c>
      <c r="W12" s="47"/>
      <c r="X12" s="43" t="s">
        <v>60</v>
      </c>
      <c r="Y12" s="44"/>
      <c r="Z12" s="43"/>
      <c r="AA12" s="47"/>
      <c r="AB12" s="45" t="s">
        <v>61</v>
      </c>
      <c r="AC12" s="45"/>
      <c r="AD12" s="12"/>
      <c r="AE12" s="47"/>
      <c r="AF12" s="43" t="s">
        <v>62</v>
      </c>
      <c r="AG12" s="46"/>
      <c r="AH12" s="13"/>
      <c r="AI12" s="47"/>
      <c r="AJ12" s="45" t="s">
        <v>63</v>
      </c>
      <c r="AK12" s="12"/>
      <c r="AL12" s="47"/>
      <c r="AM12" s="56" t="s">
        <v>64</v>
      </c>
      <c r="AN12" s="57"/>
      <c r="AO12" s="61"/>
      <c r="AP12" s="47"/>
      <c r="AQ12" s="59" t="s">
        <v>65</v>
      </c>
      <c r="AR12" s="14"/>
    </row>
    <row r="13" spans="1:125" ht="15.75" customHeight="1" thickBot="1" x14ac:dyDescent="0.25">
      <c r="A13" s="25"/>
      <c r="B13" s="62" t="s">
        <v>80</v>
      </c>
      <c r="C13" s="63"/>
      <c r="D13" s="64"/>
      <c r="E13" s="65"/>
      <c r="F13" s="64"/>
      <c r="G13" s="64"/>
      <c r="H13" s="64"/>
      <c r="I13" s="64"/>
      <c r="J13" s="64"/>
      <c r="K13" s="66"/>
      <c r="L13" s="66"/>
      <c r="M13" s="66"/>
      <c r="N13" s="66"/>
      <c r="O13" s="66"/>
      <c r="P13" s="66"/>
      <c r="Q13" s="66"/>
      <c r="R13" s="66"/>
      <c r="S13" s="15"/>
      <c r="T13" s="28"/>
      <c r="U13" s="55" t="s">
        <v>66</v>
      </c>
      <c r="V13" s="24" t="s">
        <v>20</v>
      </c>
      <c r="W13" s="47"/>
      <c r="X13" s="43" t="s">
        <v>67</v>
      </c>
      <c r="Y13" s="44"/>
      <c r="Z13" s="43"/>
      <c r="AA13" s="47"/>
      <c r="AB13" s="45" t="s">
        <v>68</v>
      </c>
      <c r="AC13" s="45"/>
      <c r="AD13" s="12"/>
      <c r="AE13" s="47"/>
      <c r="AF13" s="43" t="s">
        <v>69</v>
      </c>
      <c r="AG13" s="46"/>
      <c r="AH13" s="13"/>
      <c r="AI13" s="47"/>
      <c r="AJ13" s="45" t="s">
        <v>70</v>
      </c>
      <c r="AK13" s="12"/>
      <c r="AL13" s="47"/>
      <c r="AM13" s="56" t="s">
        <v>71</v>
      </c>
      <c r="AN13" s="57"/>
      <c r="AO13" s="58"/>
      <c r="AP13" s="47"/>
      <c r="AQ13" s="59" t="s">
        <v>72</v>
      </c>
      <c r="AR13" s="14"/>
    </row>
    <row r="14" spans="1:125" ht="15.75" customHeight="1" x14ac:dyDescent="0.2">
      <c r="A14" s="25"/>
      <c r="B14" s="624" t="s">
        <v>88</v>
      </c>
      <c r="C14" s="624"/>
      <c r="D14" s="624"/>
      <c r="E14" s="67" t="s">
        <v>89</v>
      </c>
      <c r="F14" s="67"/>
      <c r="G14" s="67" t="s">
        <v>90</v>
      </c>
      <c r="H14" s="68"/>
      <c r="I14" s="69" t="s">
        <v>11</v>
      </c>
      <c r="J14" s="68"/>
      <c r="K14" s="68" t="s">
        <v>88</v>
      </c>
      <c r="L14" s="68"/>
      <c r="M14" s="68"/>
      <c r="N14" s="67" t="s">
        <v>89</v>
      </c>
      <c r="O14" s="67"/>
      <c r="P14" s="68" t="s">
        <v>90</v>
      </c>
      <c r="Q14" s="68"/>
      <c r="R14" s="69" t="s">
        <v>11</v>
      </c>
      <c r="S14" s="15"/>
      <c r="T14" s="28"/>
      <c r="U14" s="55" t="s">
        <v>73</v>
      </c>
      <c r="V14" s="24" t="s">
        <v>20</v>
      </c>
      <c r="W14" s="47"/>
      <c r="X14" s="43" t="s">
        <v>74</v>
      </c>
      <c r="Y14" s="44"/>
      <c r="Z14" s="43"/>
      <c r="AA14" s="47"/>
      <c r="AB14" s="45" t="s">
        <v>75</v>
      </c>
      <c r="AC14" s="45"/>
      <c r="AD14" s="12"/>
      <c r="AE14" s="47"/>
      <c r="AF14" s="43" t="s">
        <v>76</v>
      </c>
      <c r="AG14" s="46"/>
      <c r="AH14" s="13"/>
      <c r="AI14" s="47"/>
      <c r="AJ14" s="45" t="s">
        <v>77</v>
      </c>
      <c r="AK14" s="12"/>
      <c r="AL14" s="47"/>
      <c r="AM14" s="56" t="s">
        <v>78</v>
      </c>
      <c r="AN14" s="57"/>
      <c r="AO14" s="58"/>
      <c r="AP14" s="47"/>
      <c r="AQ14" s="59" t="s">
        <v>79</v>
      </c>
      <c r="AR14" s="14"/>
    </row>
    <row r="15" spans="1:125" ht="15.75" customHeight="1" x14ac:dyDescent="0.2">
      <c r="A15" s="25"/>
      <c r="B15" s="623" t="s">
        <v>702</v>
      </c>
      <c r="C15" s="623"/>
      <c r="D15" s="623"/>
      <c r="E15" s="73"/>
      <c r="F15" s="74"/>
      <c r="G15" s="2" t="s">
        <v>29</v>
      </c>
      <c r="J15" s="75"/>
      <c r="K15" s="623" t="s">
        <v>93</v>
      </c>
      <c r="L15" s="623"/>
      <c r="M15" s="623"/>
      <c r="N15" s="196"/>
      <c r="O15" s="74"/>
      <c r="P15" s="22" t="s">
        <v>20</v>
      </c>
      <c r="R15" s="43" t="s">
        <v>94</v>
      </c>
      <c r="S15" s="15"/>
      <c r="T15" s="28"/>
      <c r="U15" s="55" t="s">
        <v>81</v>
      </c>
      <c r="V15" s="24" t="s">
        <v>20</v>
      </c>
      <c r="W15" s="47"/>
      <c r="X15" s="43" t="s">
        <v>82</v>
      </c>
      <c r="Y15" s="44"/>
      <c r="Z15" s="43"/>
      <c r="AA15" s="47"/>
      <c r="AB15" s="45" t="s">
        <v>83</v>
      </c>
      <c r="AC15" s="45"/>
      <c r="AD15" s="12"/>
      <c r="AE15" s="47"/>
      <c r="AF15" s="43" t="s">
        <v>84</v>
      </c>
      <c r="AG15" s="46"/>
      <c r="AH15" s="13"/>
      <c r="AI15" s="47"/>
      <c r="AJ15" s="45" t="s">
        <v>85</v>
      </c>
      <c r="AK15" s="12"/>
      <c r="AL15" s="47"/>
      <c r="AM15" s="56" t="s">
        <v>86</v>
      </c>
      <c r="AN15" s="57"/>
      <c r="AO15" s="58"/>
      <c r="AP15" s="47"/>
      <c r="AQ15" s="59" t="s">
        <v>87</v>
      </c>
      <c r="AR15" s="14"/>
    </row>
    <row r="16" spans="1:125" ht="15.75" customHeight="1" x14ac:dyDescent="0.15">
      <c r="A16" s="25"/>
      <c r="B16" s="623" t="s">
        <v>722</v>
      </c>
      <c r="C16" s="623"/>
      <c r="D16" s="623"/>
      <c r="E16" s="74">
        <v>1</v>
      </c>
      <c r="F16" s="74"/>
      <c r="G16" s="2"/>
      <c r="J16" s="75"/>
      <c r="K16" s="623" t="s">
        <v>99</v>
      </c>
      <c r="L16" s="623"/>
      <c r="M16" s="623"/>
      <c r="N16" s="196"/>
      <c r="O16" s="74"/>
      <c r="P16" s="22" t="s">
        <v>20</v>
      </c>
      <c r="R16" s="43" t="s">
        <v>100</v>
      </c>
      <c r="S16" s="15"/>
      <c r="T16" s="28"/>
      <c r="U16" s="55" t="s">
        <v>91</v>
      </c>
      <c r="V16" s="24" t="s">
        <v>92</v>
      </c>
      <c r="W16" s="626"/>
      <c r="X16" s="626"/>
      <c r="Y16" s="70"/>
      <c r="Z16" s="71"/>
      <c r="AA16" s="72"/>
      <c r="AB16" s="45"/>
      <c r="AC16" s="45"/>
      <c r="AD16" s="12"/>
      <c r="AE16" s="626"/>
      <c r="AF16" s="626"/>
      <c r="AG16" s="46"/>
      <c r="AH16" s="13"/>
      <c r="AI16" s="72"/>
      <c r="AJ16" s="21"/>
      <c r="AK16" s="12"/>
      <c r="AL16" s="626"/>
      <c r="AM16" s="626"/>
      <c r="AN16" s="46"/>
      <c r="AO16" s="13"/>
      <c r="AP16" s="13"/>
      <c r="AQ16" s="21"/>
      <c r="AR16" s="14"/>
    </row>
    <row r="17" spans="1:44" ht="15.75" customHeight="1" x14ac:dyDescent="0.2">
      <c r="A17" s="25"/>
      <c r="B17" s="1" t="s">
        <v>772</v>
      </c>
      <c r="E17" s="625"/>
      <c r="F17" s="625"/>
      <c r="G17" s="625"/>
      <c r="J17" s="75"/>
      <c r="K17" s="623" t="s">
        <v>104</v>
      </c>
      <c r="L17" s="623"/>
      <c r="M17" s="623"/>
      <c r="N17" s="196"/>
      <c r="O17" s="74"/>
      <c r="P17" s="22" t="s">
        <v>20</v>
      </c>
      <c r="R17" s="43" t="s">
        <v>105</v>
      </c>
      <c r="S17" s="15"/>
      <c r="T17" s="28"/>
      <c r="U17" s="30" t="s">
        <v>95</v>
      </c>
      <c r="V17" s="24" t="s">
        <v>20</v>
      </c>
      <c r="W17" s="76"/>
      <c r="X17" s="2"/>
      <c r="Y17" s="77"/>
      <c r="Z17" s="2"/>
      <c r="AA17" s="47"/>
      <c r="AB17" s="45" t="s">
        <v>96</v>
      </c>
      <c r="AC17" s="45"/>
      <c r="AD17" s="12"/>
      <c r="AE17" s="76"/>
      <c r="AF17" s="43"/>
      <c r="AG17" s="46"/>
      <c r="AH17" s="13"/>
      <c r="AI17" s="78">
        <f>AA17</f>
        <v>0</v>
      </c>
      <c r="AJ17" s="45" t="s">
        <v>97</v>
      </c>
      <c r="AK17" s="12"/>
      <c r="AL17" s="2"/>
      <c r="AM17" s="43"/>
      <c r="AN17" s="46"/>
      <c r="AO17" s="13"/>
      <c r="AP17" s="47"/>
      <c r="AQ17" s="45" t="s">
        <v>98</v>
      </c>
      <c r="AR17" s="14"/>
    </row>
    <row r="18" spans="1:44" ht="15" customHeight="1" x14ac:dyDescent="0.2">
      <c r="A18" s="25"/>
      <c r="B18" s="623" t="s">
        <v>815</v>
      </c>
      <c r="C18" s="623"/>
      <c r="D18" s="623"/>
      <c r="E18" s="241"/>
      <c r="F18" s="87"/>
      <c r="G18" s="2" t="s">
        <v>113</v>
      </c>
      <c r="I18" s="22" t="s">
        <v>929</v>
      </c>
      <c r="J18" s="75"/>
      <c r="K18" s="623" t="s">
        <v>108</v>
      </c>
      <c r="L18" s="623"/>
      <c r="M18" s="623"/>
      <c r="N18" s="196"/>
      <c r="O18" s="74"/>
      <c r="P18" s="22" t="s">
        <v>20</v>
      </c>
      <c r="R18" s="43" t="s">
        <v>109</v>
      </c>
      <c r="S18" s="15"/>
      <c r="T18" s="28"/>
      <c r="U18" s="30" t="s">
        <v>791</v>
      </c>
      <c r="V18" s="24" t="s">
        <v>781</v>
      </c>
      <c r="W18" s="76"/>
      <c r="X18" s="2"/>
      <c r="Y18" s="77"/>
      <c r="Z18" s="2"/>
      <c r="AA18" s="398"/>
      <c r="AB18" s="45" t="s">
        <v>793</v>
      </c>
      <c r="AC18" s="45"/>
      <c r="AD18" s="12"/>
      <c r="AE18" s="76"/>
      <c r="AF18" s="43"/>
      <c r="AG18" s="46"/>
      <c r="AH18" s="13"/>
      <c r="AI18" s="398"/>
      <c r="AJ18" s="45" t="s">
        <v>796</v>
      </c>
      <c r="AK18" s="12"/>
      <c r="AL18" s="2"/>
      <c r="AM18" s="43"/>
      <c r="AN18" s="46"/>
      <c r="AO18" s="13"/>
      <c r="AP18" s="398"/>
      <c r="AQ18" s="45" t="s">
        <v>799</v>
      </c>
      <c r="AR18" s="14"/>
    </row>
    <row r="19" spans="1:44" ht="15" customHeight="1" x14ac:dyDescent="0.2">
      <c r="A19" s="25"/>
      <c r="B19" s="623" t="s">
        <v>101</v>
      </c>
      <c r="C19" s="623"/>
      <c r="D19" s="623"/>
      <c r="E19" s="83">
        <f>'General Information'!L21</f>
        <v>0</v>
      </c>
      <c r="F19" s="84"/>
      <c r="G19" s="2" t="s">
        <v>102</v>
      </c>
      <c r="I19" s="22" t="s">
        <v>103</v>
      </c>
      <c r="J19" s="75"/>
      <c r="K19" s="623" t="s">
        <v>114</v>
      </c>
      <c r="L19" s="623"/>
      <c r="M19" s="623"/>
      <c r="N19" s="196"/>
      <c r="O19" s="74"/>
      <c r="P19" s="22" t="s">
        <v>20</v>
      </c>
      <c r="R19" s="43" t="s">
        <v>115</v>
      </c>
      <c r="S19" s="15"/>
      <c r="T19" s="10"/>
      <c r="U19" s="251" t="s">
        <v>792</v>
      </c>
      <c r="V19" s="24" t="s">
        <v>781</v>
      </c>
      <c r="W19" s="76"/>
      <c r="X19" s="2"/>
      <c r="Y19" s="77"/>
      <c r="Z19" s="2">
        <v>10</v>
      </c>
      <c r="AA19" s="398"/>
      <c r="AB19" s="45" t="s">
        <v>794</v>
      </c>
      <c r="AC19" s="45"/>
      <c r="AD19" s="12"/>
      <c r="AE19" s="76"/>
      <c r="AF19" s="43"/>
      <c r="AG19" s="46"/>
      <c r="AH19" s="13"/>
      <c r="AI19" s="398"/>
      <c r="AJ19" s="45" t="s">
        <v>797</v>
      </c>
      <c r="AK19" s="12"/>
      <c r="AL19" s="2"/>
      <c r="AM19" s="43"/>
      <c r="AN19" s="46"/>
      <c r="AO19" s="13"/>
      <c r="AP19" s="398"/>
      <c r="AQ19" s="45" t="s">
        <v>800</v>
      </c>
      <c r="AR19" s="14"/>
    </row>
    <row r="20" spans="1:44" ht="15" customHeight="1" x14ac:dyDescent="0.2">
      <c r="A20" s="25"/>
      <c r="B20" s="623" t="s">
        <v>106</v>
      </c>
      <c r="C20" s="623"/>
      <c r="D20" s="623"/>
      <c r="E20" s="85">
        <f>'General Information'!L22</f>
        <v>0</v>
      </c>
      <c r="F20" s="84"/>
      <c r="G20" s="2" t="s">
        <v>102</v>
      </c>
      <c r="I20" s="22" t="s">
        <v>107</v>
      </c>
      <c r="J20" s="75"/>
      <c r="K20" s="623" t="s">
        <v>117</v>
      </c>
      <c r="L20" s="623"/>
      <c r="M20" s="623"/>
      <c r="N20" s="195">
        <f>'General Information'!C20</f>
        <v>0</v>
      </c>
      <c r="O20" s="74"/>
      <c r="P20" s="22" t="s">
        <v>29</v>
      </c>
      <c r="R20" s="43" t="s">
        <v>118</v>
      </c>
      <c r="S20" s="15"/>
      <c r="T20" s="10"/>
      <c r="U20" s="251" t="s">
        <v>789</v>
      </c>
      <c r="V20" s="24" t="s">
        <v>790</v>
      </c>
      <c r="W20" s="371"/>
      <c r="X20" s="372"/>
      <c r="Y20" s="374"/>
      <c r="Z20" s="372"/>
      <c r="AA20" s="399"/>
      <c r="AB20" s="45" t="s">
        <v>795</v>
      </c>
      <c r="AC20" s="45"/>
      <c r="AD20" s="82"/>
      <c r="AE20" s="371"/>
      <c r="AF20" s="372"/>
      <c r="AG20" s="383"/>
      <c r="AH20" s="369"/>
      <c r="AI20" s="399"/>
      <c r="AJ20" s="45" t="s">
        <v>798</v>
      </c>
      <c r="AK20" s="82"/>
      <c r="AL20" s="371"/>
      <c r="AM20" s="372"/>
      <c r="AN20" s="383"/>
      <c r="AO20" s="369"/>
      <c r="AP20" s="399"/>
      <c r="AQ20" s="45" t="s">
        <v>801</v>
      </c>
      <c r="AR20" s="14"/>
    </row>
    <row r="21" spans="1:44" ht="15" customHeight="1" x14ac:dyDescent="0.2">
      <c r="A21" s="25"/>
      <c r="B21" s="627" t="s">
        <v>783</v>
      </c>
      <c r="C21" s="627"/>
      <c r="D21" s="627"/>
      <c r="F21" s="87"/>
      <c r="I21" s="1"/>
      <c r="J21" s="75"/>
      <c r="K21" s="96" t="s">
        <v>780</v>
      </c>
      <c r="L21" s="43"/>
      <c r="M21" s="43"/>
      <c r="N21" s="454"/>
      <c r="O21" s="43"/>
      <c r="P21" s="43" t="s">
        <v>781</v>
      </c>
      <c r="Q21" s="43"/>
      <c r="R21" s="43" t="s">
        <v>786</v>
      </c>
      <c r="S21" s="15"/>
      <c r="T21" s="10"/>
      <c r="U21" s="436" t="s">
        <v>943</v>
      </c>
      <c r="V21" s="437" t="s">
        <v>29</v>
      </c>
      <c r="W21" s="373"/>
      <c r="X21" s="372"/>
      <c r="Y21" s="372"/>
      <c r="Z21" s="438"/>
      <c r="AA21" s="458"/>
      <c r="AB21" s="439" t="s">
        <v>944</v>
      </c>
      <c r="AC21" s="45"/>
      <c r="AD21" s="82"/>
      <c r="AE21" s="440"/>
      <c r="AF21" s="372"/>
      <c r="AG21" s="372"/>
      <c r="AH21" s="441"/>
      <c r="AI21" s="458"/>
      <c r="AJ21" s="439" t="s">
        <v>945</v>
      </c>
      <c r="AK21" s="369"/>
      <c r="AL21" s="440"/>
      <c r="AM21" s="372"/>
      <c r="AN21" s="374"/>
      <c r="AO21" s="372"/>
      <c r="AP21" s="458"/>
      <c r="AQ21" s="439" t="s">
        <v>946</v>
      </c>
      <c r="AR21" s="14"/>
    </row>
    <row r="22" spans="1:44" ht="15" customHeight="1" x14ac:dyDescent="0.15">
      <c r="A22" s="25"/>
      <c r="B22" s="250" t="s">
        <v>782</v>
      </c>
      <c r="C22" s="243"/>
      <c r="D22" s="243"/>
      <c r="E22" s="83">
        <f>E20*(1-E18)-(E18*((N20-E15)*4.2+2260))</f>
        <v>0</v>
      </c>
      <c r="F22" s="87"/>
      <c r="G22" s="2" t="s">
        <v>102</v>
      </c>
      <c r="I22" s="22" t="s">
        <v>928</v>
      </c>
      <c r="J22" s="75"/>
      <c r="K22" s="96"/>
      <c r="L22" s="43"/>
      <c r="M22" s="244" t="s">
        <v>784</v>
      </c>
      <c r="N22" s="454"/>
      <c r="O22" s="43"/>
      <c r="P22" s="43" t="s">
        <v>781</v>
      </c>
      <c r="Q22" s="43"/>
      <c r="R22" s="43" t="s">
        <v>787</v>
      </c>
      <c r="S22" s="15"/>
      <c r="T22" s="10"/>
      <c r="U22" s="251" t="s">
        <v>954</v>
      </c>
      <c r="V22" s="24" t="s">
        <v>20</v>
      </c>
      <c r="W22" s="76"/>
      <c r="X22" s="2"/>
      <c r="Y22" s="77"/>
      <c r="Z22" s="2"/>
      <c r="AA22" s="398"/>
      <c r="AB22" s="389" t="s">
        <v>914</v>
      </c>
      <c r="AC22" s="45"/>
      <c r="AD22" s="12"/>
      <c r="AE22" s="76"/>
      <c r="AF22" s="43"/>
      <c r="AG22" s="46"/>
      <c r="AH22" s="13"/>
      <c r="AI22" s="398"/>
      <c r="AJ22" s="451" t="s">
        <v>968</v>
      </c>
      <c r="AK22" s="21"/>
      <c r="AL22" s="2"/>
      <c r="AM22" s="43"/>
      <c r="AN22" s="46"/>
      <c r="AO22" s="13"/>
      <c r="AP22" s="398"/>
      <c r="AQ22" s="391" t="s">
        <v>916</v>
      </c>
      <c r="AR22" s="14"/>
    </row>
    <row r="23" spans="1:44" ht="15" customHeight="1" x14ac:dyDescent="0.15">
      <c r="A23" s="25"/>
      <c r="B23" s="622" t="s">
        <v>736</v>
      </c>
      <c r="C23" s="622"/>
      <c r="D23" s="622"/>
      <c r="E23" s="83">
        <f>'General Information'!L11</f>
        <v>0</v>
      </c>
      <c r="F23" s="2"/>
      <c r="G23" s="2" t="s">
        <v>102</v>
      </c>
      <c r="J23" s="75"/>
      <c r="K23" s="96"/>
      <c r="L23" s="43"/>
      <c r="M23" s="244" t="s">
        <v>785</v>
      </c>
      <c r="N23" s="454"/>
      <c r="O23" s="43"/>
      <c r="P23" s="43" t="s">
        <v>790</v>
      </c>
      <c r="Q23" s="43"/>
      <c r="R23" s="43" t="s">
        <v>788</v>
      </c>
      <c r="S23" s="15"/>
      <c r="T23" s="10"/>
      <c r="U23" s="251" t="s">
        <v>955</v>
      </c>
      <c r="V23" s="24" t="s">
        <v>20</v>
      </c>
      <c r="W23" s="76"/>
      <c r="X23" s="2"/>
      <c r="Y23" s="77"/>
      <c r="Z23" s="2">
        <v>10</v>
      </c>
      <c r="AA23" s="398"/>
      <c r="AB23" s="390" t="s">
        <v>911</v>
      </c>
      <c r="AC23" s="45"/>
      <c r="AD23" s="12"/>
      <c r="AE23" s="76"/>
      <c r="AF23" s="43"/>
      <c r="AG23" s="46"/>
      <c r="AH23" s="13"/>
      <c r="AI23" s="398"/>
      <c r="AJ23" s="358" t="s">
        <v>912</v>
      </c>
      <c r="AK23" s="12"/>
      <c r="AL23" s="2"/>
      <c r="AM23" s="43"/>
      <c r="AN23" s="46"/>
      <c r="AO23" s="13"/>
      <c r="AP23" s="398"/>
      <c r="AQ23" s="391" t="s">
        <v>913</v>
      </c>
      <c r="AR23" s="14"/>
    </row>
    <row r="24" spans="1:44" ht="15.75" customHeight="1" thickBot="1" x14ac:dyDescent="0.2">
      <c r="A24" s="25"/>
      <c r="D24" s="97"/>
      <c r="E24" s="98"/>
      <c r="F24" s="2"/>
      <c r="G24" s="2"/>
      <c r="K24" s="96"/>
      <c r="L24" s="43"/>
      <c r="M24" s="43"/>
      <c r="N24" s="43"/>
      <c r="O24" s="43"/>
      <c r="P24" s="43"/>
      <c r="Q24" s="43"/>
      <c r="R24" s="43"/>
      <c r="S24" s="15"/>
      <c r="T24" s="10"/>
      <c r="U24" s="442" t="s">
        <v>956</v>
      </c>
      <c r="V24" s="37" t="s">
        <v>20</v>
      </c>
      <c r="W24" s="79"/>
      <c r="X24" s="80"/>
      <c r="Y24" s="81"/>
      <c r="Z24" s="80"/>
      <c r="AA24" s="443"/>
      <c r="AB24" s="444" t="s">
        <v>908</v>
      </c>
      <c r="AC24" s="445"/>
      <c r="AD24" s="446"/>
      <c r="AE24" s="79"/>
      <c r="AF24" s="80"/>
      <c r="AG24" s="447"/>
      <c r="AH24" s="448"/>
      <c r="AI24" s="443"/>
      <c r="AJ24" s="449" t="s">
        <v>909</v>
      </c>
      <c r="AK24" s="446"/>
      <c r="AL24" s="79"/>
      <c r="AM24" s="80"/>
      <c r="AN24" s="447"/>
      <c r="AO24" s="448"/>
      <c r="AP24" s="443"/>
      <c r="AQ24" s="450" t="s">
        <v>910</v>
      </c>
      <c r="AR24" s="14"/>
    </row>
    <row r="25" spans="1:44" ht="15.75" customHeight="1" thickBot="1" x14ac:dyDescent="0.2">
      <c r="A25" s="25"/>
      <c r="B25" s="99" t="s">
        <v>737</v>
      </c>
      <c r="C25" s="100"/>
      <c r="D25" s="101"/>
      <c r="E25" s="646"/>
      <c r="F25" s="646"/>
      <c r="G25" s="646"/>
      <c r="H25" s="646"/>
      <c r="I25" s="646"/>
      <c r="J25" s="646"/>
      <c r="K25" s="646"/>
      <c r="L25" s="646"/>
      <c r="M25" s="646"/>
      <c r="N25" s="646"/>
      <c r="O25" s="646"/>
      <c r="P25" s="646"/>
      <c r="Q25" s="646"/>
      <c r="R25" s="647"/>
      <c r="S25" s="15"/>
      <c r="T25" s="10"/>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14"/>
    </row>
    <row r="26" spans="1:44" ht="15.75" customHeight="1" x14ac:dyDescent="0.15">
      <c r="A26" s="25"/>
      <c r="B26" s="616"/>
      <c r="C26" s="617"/>
      <c r="D26" s="617"/>
      <c r="E26" s="617"/>
      <c r="F26" s="617"/>
      <c r="G26" s="617"/>
      <c r="H26" s="617"/>
      <c r="I26" s="617"/>
      <c r="J26" s="617"/>
      <c r="K26" s="617"/>
      <c r="L26" s="617"/>
      <c r="M26" s="617"/>
      <c r="N26" s="617"/>
      <c r="O26" s="617"/>
      <c r="P26" s="617"/>
      <c r="Q26" s="617"/>
      <c r="R26" s="618"/>
      <c r="S26" s="15"/>
      <c r="T26" s="10"/>
      <c r="U26" s="377"/>
      <c r="V26" s="13"/>
      <c r="W26" s="86" t="s">
        <v>110</v>
      </c>
      <c r="X26" s="13"/>
      <c r="Y26" s="23"/>
      <c r="Z26" s="13"/>
      <c r="AA26" s="86" t="s">
        <v>111</v>
      </c>
      <c r="AB26" s="13"/>
      <c r="AC26" s="13"/>
      <c r="AD26" s="21"/>
      <c r="AE26" s="118" t="s">
        <v>964</v>
      </c>
      <c r="AF26" s="13"/>
      <c r="AG26" s="13"/>
      <c r="AH26" s="13"/>
      <c r="AI26" s="13"/>
      <c r="AJ26" s="13"/>
      <c r="AK26" s="13"/>
      <c r="AL26" s="13"/>
      <c r="AM26" s="13"/>
      <c r="AN26" s="13"/>
      <c r="AO26" s="13"/>
      <c r="AP26" s="13"/>
      <c r="AQ26" s="13"/>
      <c r="AR26" s="385"/>
    </row>
    <row r="27" spans="1:44" ht="15.75" customHeight="1" x14ac:dyDescent="0.15">
      <c r="A27" s="25"/>
      <c r="B27" s="616"/>
      <c r="C27" s="617"/>
      <c r="D27" s="617"/>
      <c r="E27" s="617"/>
      <c r="F27" s="617"/>
      <c r="G27" s="617"/>
      <c r="H27" s="617"/>
      <c r="I27" s="617"/>
      <c r="J27" s="617"/>
      <c r="K27" s="617"/>
      <c r="L27" s="617"/>
      <c r="M27" s="617"/>
      <c r="N27" s="617"/>
      <c r="O27" s="617"/>
      <c r="P27" s="617"/>
      <c r="Q27" s="617"/>
      <c r="R27" s="618"/>
      <c r="S27" s="15"/>
      <c r="T27" s="10"/>
      <c r="U27" s="378" t="s">
        <v>116</v>
      </c>
      <c r="V27" s="89" t="s">
        <v>9</v>
      </c>
      <c r="W27" s="89" t="s">
        <v>10</v>
      </c>
      <c r="X27" s="89" t="s">
        <v>11</v>
      </c>
      <c r="Y27" s="46"/>
      <c r="Z27" s="13"/>
      <c r="AA27" s="89" t="s">
        <v>10</v>
      </c>
      <c r="AB27" s="89" t="s">
        <v>11</v>
      </c>
      <c r="AC27" s="89"/>
      <c r="AD27" s="21"/>
      <c r="AE27" s="90" t="s">
        <v>116</v>
      </c>
      <c r="AF27" s="13"/>
      <c r="AG27" s="13"/>
      <c r="AH27" s="13"/>
      <c r="AI27" s="13"/>
      <c r="AJ27" s="13"/>
      <c r="AK27" s="13"/>
      <c r="AL27" s="13"/>
      <c r="AM27" s="89" t="s">
        <v>9</v>
      </c>
      <c r="AN27" s="13"/>
      <c r="AO27" s="13"/>
      <c r="AP27" s="89" t="s">
        <v>10</v>
      </c>
      <c r="AQ27" s="89" t="s">
        <v>11</v>
      </c>
      <c r="AR27" s="14"/>
    </row>
    <row r="28" spans="1:44" ht="15.75" customHeight="1" x14ac:dyDescent="0.2">
      <c r="A28" s="25"/>
      <c r="B28" s="616"/>
      <c r="C28" s="617"/>
      <c r="D28" s="617"/>
      <c r="E28" s="617"/>
      <c r="F28" s="617"/>
      <c r="G28" s="617"/>
      <c r="H28" s="617"/>
      <c r="I28" s="617"/>
      <c r="J28" s="617"/>
      <c r="K28" s="617"/>
      <c r="L28" s="617"/>
      <c r="M28" s="617"/>
      <c r="N28" s="617"/>
      <c r="O28" s="617"/>
      <c r="P28" s="617"/>
      <c r="Q28" s="617"/>
      <c r="R28" s="618"/>
      <c r="S28" s="15"/>
      <c r="T28" s="10"/>
      <c r="U28" s="379" t="s">
        <v>874</v>
      </c>
      <c r="V28" s="92" t="s">
        <v>20</v>
      </c>
      <c r="W28" s="93">
        <f>W7-AA7</f>
        <v>0</v>
      </c>
      <c r="X28" s="56" t="s">
        <v>119</v>
      </c>
      <c r="Y28" s="57"/>
      <c r="Z28" s="61"/>
      <c r="AA28" s="93">
        <f>AE7-AI7</f>
        <v>0</v>
      </c>
      <c r="AB28" s="56" t="s">
        <v>120</v>
      </c>
      <c r="AC28" s="56"/>
      <c r="AD28" s="21"/>
      <c r="AE28" s="95" t="s">
        <v>876</v>
      </c>
      <c r="AF28" s="61"/>
      <c r="AG28" s="61"/>
      <c r="AH28" s="61"/>
      <c r="AI28" s="61"/>
      <c r="AJ28" s="61"/>
      <c r="AK28" s="61"/>
      <c r="AL28" s="61"/>
      <c r="AM28" s="92" t="s">
        <v>20</v>
      </c>
      <c r="AN28" s="61"/>
      <c r="AO28" s="61"/>
      <c r="AP28" s="93">
        <f>AL7-AP7</f>
        <v>0</v>
      </c>
      <c r="AQ28" s="56" t="s">
        <v>121</v>
      </c>
      <c r="AR28" s="14"/>
    </row>
    <row r="29" spans="1:44" ht="15.75" customHeight="1" x14ac:dyDescent="0.2">
      <c r="A29" s="25"/>
      <c r="B29" s="616"/>
      <c r="C29" s="617"/>
      <c r="D29" s="617"/>
      <c r="E29" s="617"/>
      <c r="F29" s="617"/>
      <c r="G29" s="617"/>
      <c r="H29" s="617"/>
      <c r="I29" s="617"/>
      <c r="J29" s="617"/>
      <c r="K29" s="617"/>
      <c r="L29" s="617"/>
      <c r="M29" s="617"/>
      <c r="N29" s="617"/>
      <c r="O29" s="617"/>
      <c r="P29" s="617"/>
      <c r="Q29" s="617"/>
      <c r="R29" s="618"/>
      <c r="S29" s="15"/>
      <c r="T29" s="10"/>
      <c r="U29" s="379" t="s">
        <v>122</v>
      </c>
      <c r="V29" s="92" t="s">
        <v>20</v>
      </c>
      <c r="W29" s="93">
        <f>AA17-$N$19</f>
        <v>0</v>
      </c>
      <c r="X29" s="56" t="s">
        <v>123</v>
      </c>
      <c r="Y29" s="57"/>
      <c r="Z29" s="61"/>
      <c r="AA29" s="93">
        <f>IF(AA28=0,0,AI17-$N$19)</f>
        <v>0</v>
      </c>
      <c r="AB29" s="56" t="s">
        <v>124</v>
      </c>
      <c r="AC29" s="56"/>
      <c r="AD29" s="94"/>
      <c r="AE29" s="95" t="s">
        <v>125</v>
      </c>
      <c r="AF29" s="61"/>
      <c r="AG29" s="61"/>
      <c r="AH29" s="61"/>
      <c r="AI29" s="61"/>
      <c r="AJ29" s="61"/>
      <c r="AK29" s="61"/>
      <c r="AL29" s="61"/>
      <c r="AM29" s="92" t="s">
        <v>20</v>
      </c>
      <c r="AN29" s="61"/>
      <c r="AO29" s="61"/>
      <c r="AP29" s="93">
        <f>(AP17-$N$19)-W29</f>
        <v>0</v>
      </c>
      <c r="AQ29" s="56" t="s">
        <v>126</v>
      </c>
      <c r="AR29" s="14"/>
    </row>
    <row r="30" spans="1:44" ht="15.75" customHeight="1" x14ac:dyDescent="0.2">
      <c r="A30" s="25"/>
      <c r="B30" s="616"/>
      <c r="C30" s="617"/>
      <c r="D30" s="617"/>
      <c r="E30" s="617"/>
      <c r="F30" s="617"/>
      <c r="G30" s="617"/>
      <c r="H30" s="617"/>
      <c r="I30" s="617"/>
      <c r="J30" s="617"/>
      <c r="K30" s="617"/>
      <c r="L30" s="617"/>
      <c r="M30" s="617"/>
      <c r="N30" s="617"/>
      <c r="O30" s="617"/>
      <c r="P30" s="617"/>
      <c r="Q30" s="617"/>
      <c r="R30" s="618"/>
      <c r="S30" s="15"/>
      <c r="T30" s="10"/>
      <c r="U30" s="379" t="s">
        <v>875</v>
      </c>
      <c r="V30" s="92" t="s">
        <v>20</v>
      </c>
      <c r="W30" s="327" t="e">
        <f>(W28*($E$20*(1-$E$18)-$E$18*(4.186*($N$20-$E$15)+2257))-W29*$E23)/$E$20</f>
        <v>#DIV/0!</v>
      </c>
      <c r="X30" s="328" t="s">
        <v>127</v>
      </c>
      <c r="Y30" s="329"/>
      <c r="Z30" s="330"/>
      <c r="AA30" s="327">
        <f>IF(AA28=0,0,(AA28*($E$20*(1-$E$18)-$E$18*(4.186*($N$20-$E$15)+2257))-AA29*$E23)/$E$20)</f>
        <v>0</v>
      </c>
      <c r="AB30" s="328" t="s">
        <v>128</v>
      </c>
      <c r="AC30" s="328"/>
      <c r="AD30" s="331"/>
      <c r="AE30" s="332" t="s">
        <v>875</v>
      </c>
      <c r="AF30" s="330"/>
      <c r="AG30" s="330"/>
      <c r="AH30" s="330"/>
      <c r="AI30" s="330"/>
      <c r="AJ30" s="330"/>
      <c r="AK30" s="330"/>
      <c r="AL30" s="330"/>
      <c r="AM30" s="333" t="s">
        <v>20</v>
      </c>
      <c r="AN30" s="330"/>
      <c r="AO30" s="330"/>
      <c r="AP30" s="327" t="e">
        <f>(AP28*($E$20*(1-$E$18)-$E$18*(4.186*($N$20-$E$15)+2257))-AP29*$E23)/$E$20</f>
        <v>#DIV/0!</v>
      </c>
      <c r="AQ30" s="56" t="s">
        <v>129</v>
      </c>
      <c r="AR30" s="14"/>
    </row>
    <row r="31" spans="1:44" ht="15.75" customHeight="1" x14ac:dyDescent="0.2">
      <c r="A31" s="25"/>
      <c r="B31" s="616"/>
      <c r="C31" s="617"/>
      <c r="D31" s="617"/>
      <c r="E31" s="617"/>
      <c r="F31" s="617"/>
      <c r="G31" s="617"/>
      <c r="H31" s="617"/>
      <c r="I31" s="617"/>
      <c r="J31" s="617"/>
      <c r="K31" s="617"/>
      <c r="L31" s="617"/>
      <c r="M31" s="617"/>
      <c r="N31" s="617"/>
      <c r="O31" s="617"/>
      <c r="P31" s="617"/>
      <c r="Q31" s="617"/>
      <c r="R31" s="618"/>
      <c r="S31" s="15"/>
      <c r="T31" s="10"/>
      <c r="U31" s="379" t="s">
        <v>130</v>
      </c>
      <c r="V31" s="92" t="s">
        <v>20</v>
      </c>
      <c r="W31" s="93">
        <f>SUM(W12:W15)-SUM(AA12:AA15)</f>
        <v>0</v>
      </c>
      <c r="X31" s="56" t="s">
        <v>131</v>
      </c>
      <c r="Y31" s="57"/>
      <c r="Z31" s="61"/>
      <c r="AA31" s="93">
        <f>SUM(AE12:AE15)-SUM(AI12:AI15)</f>
        <v>0</v>
      </c>
      <c r="AB31" s="56" t="s">
        <v>132</v>
      </c>
      <c r="AC31" s="56"/>
      <c r="AD31" s="94"/>
      <c r="AE31" s="95" t="s">
        <v>133</v>
      </c>
      <c r="AF31" s="61"/>
      <c r="AG31" s="61"/>
      <c r="AH31" s="61"/>
      <c r="AI31" s="61"/>
      <c r="AJ31" s="61"/>
      <c r="AK31" s="61"/>
      <c r="AL31" s="61"/>
      <c r="AM31" s="92" t="s">
        <v>20</v>
      </c>
      <c r="AN31" s="61"/>
      <c r="AO31" s="61"/>
      <c r="AP31" s="93">
        <f>(AL12-AP12)+(AL13-AP13)+(AL14-AP14)+(AL15-AP15)</f>
        <v>0</v>
      </c>
      <c r="AQ31" s="56" t="s">
        <v>134</v>
      </c>
      <c r="AR31" s="14"/>
    </row>
    <row r="32" spans="1:44" ht="15.75" customHeight="1" x14ac:dyDescent="0.2">
      <c r="A32" s="25"/>
      <c r="B32" s="616"/>
      <c r="C32" s="617"/>
      <c r="D32" s="617"/>
      <c r="E32" s="617"/>
      <c r="F32" s="617"/>
      <c r="G32" s="617"/>
      <c r="H32" s="617"/>
      <c r="I32" s="617"/>
      <c r="J32" s="617"/>
      <c r="K32" s="617"/>
      <c r="L32" s="617"/>
      <c r="M32" s="617"/>
      <c r="N32" s="617"/>
      <c r="O32" s="617"/>
      <c r="P32" s="617"/>
      <c r="Q32" s="617"/>
      <c r="R32" s="618"/>
      <c r="S32" s="15"/>
      <c r="T32" s="10"/>
      <c r="U32" s="379" t="s">
        <v>135</v>
      </c>
      <c r="V32" s="92" t="s">
        <v>20</v>
      </c>
      <c r="W32" s="93" t="e">
        <f>((AA12-$N15)*(AA8-W8)/($N$20-W8)+(AA13-$N16)*(AA9-W9)/($N$20-W9)+(AA14-$N17)*(AA10-W10)/($N$20-W10)+(AA15-$N18)*(AA11-W11)/($N$20-W11))</f>
        <v>#DIV/0!</v>
      </c>
      <c r="X32" s="56" t="s">
        <v>136</v>
      </c>
      <c r="Y32" s="57"/>
      <c r="Z32" s="61"/>
      <c r="AA32" s="93" t="e">
        <f>((AI12-$N15)*(AI8-AE8)/($N$20-AE8)+(AI13-$N16)*(AI9-AE9)/($N$20-AE9)+(AI14-$N17)*(AI10-AE10)/($N$20-AE10)+(AI15-$N18)*(AI11-AE11)/($N$20-AE11))</f>
        <v>#DIV/0!</v>
      </c>
      <c r="AB32" s="56" t="s">
        <v>137</v>
      </c>
      <c r="AC32" s="56"/>
      <c r="AD32" s="94"/>
      <c r="AE32" s="95" t="s">
        <v>138</v>
      </c>
      <c r="AF32" s="61"/>
      <c r="AG32" s="61"/>
      <c r="AH32" s="61"/>
      <c r="AI32" s="61"/>
      <c r="AJ32" s="61"/>
      <c r="AK32" s="61"/>
      <c r="AL32" s="61"/>
      <c r="AM32" s="92" t="s">
        <v>20</v>
      </c>
      <c r="AN32" s="61"/>
      <c r="AO32" s="61"/>
      <c r="AP32" s="93">
        <f>(AP12-$N$15+((AP9-25)/(N20-25))*(AP13-N16)+((AP10-25)/(N20-25))*(AP14-N17)+((AP11-25)/(N20-25))*(AP15-N18))</f>
        <v>0</v>
      </c>
      <c r="AQ32" s="56" t="s">
        <v>139</v>
      </c>
      <c r="AR32" s="14"/>
    </row>
    <row r="33" spans="1:122" ht="15.75" customHeight="1" x14ac:dyDescent="0.2">
      <c r="A33" s="25"/>
      <c r="B33" s="616"/>
      <c r="C33" s="617"/>
      <c r="D33" s="617"/>
      <c r="E33" s="617"/>
      <c r="F33" s="617"/>
      <c r="G33" s="617"/>
      <c r="H33" s="617"/>
      <c r="I33" s="617"/>
      <c r="J33" s="617"/>
      <c r="K33" s="617"/>
      <c r="L33" s="617"/>
      <c r="M33" s="617"/>
      <c r="N33" s="617"/>
      <c r="O33" s="617"/>
      <c r="P33" s="617"/>
      <c r="Q33" s="617"/>
      <c r="R33" s="618"/>
      <c r="S33" s="15"/>
      <c r="T33" s="10"/>
      <c r="U33" s="379" t="s">
        <v>140</v>
      </c>
      <c r="V33" s="92" t="s">
        <v>141</v>
      </c>
      <c r="W33" s="93">
        <f>(AA6-W6)*1440</f>
        <v>0</v>
      </c>
      <c r="X33" s="56" t="s">
        <v>142</v>
      </c>
      <c r="Y33" s="57"/>
      <c r="Z33" s="61"/>
      <c r="AA33" s="93">
        <f>(AI6-AE6)*1440</f>
        <v>0</v>
      </c>
      <c r="AB33" s="56" t="s">
        <v>143</v>
      </c>
      <c r="AC33" s="56"/>
      <c r="AD33" s="94"/>
      <c r="AE33" s="95" t="s">
        <v>144</v>
      </c>
      <c r="AF33" s="61"/>
      <c r="AG33" s="61"/>
      <c r="AH33" s="61"/>
      <c r="AI33" s="61"/>
      <c r="AJ33" s="61"/>
      <c r="AK33" s="61"/>
      <c r="AL33" s="61"/>
      <c r="AM33" s="92" t="s">
        <v>141</v>
      </c>
      <c r="AN33" s="61"/>
      <c r="AO33" s="61"/>
      <c r="AP33" s="93">
        <f>(AP6-AL6)*1440</f>
        <v>0</v>
      </c>
      <c r="AQ33" s="56" t="s">
        <v>145</v>
      </c>
      <c r="AR33" s="14"/>
    </row>
    <row r="34" spans="1:122" ht="15.75" customHeight="1" x14ac:dyDescent="0.2">
      <c r="A34" s="25"/>
      <c r="B34" s="616"/>
      <c r="C34" s="617"/>
      <c r="D34" s="617"/>
      <c r="E34" s="617"/>
      <c r="F34" s="617"/>
      <c r="G34" s="617"/>
      <c r="H34" s="617"/>
      <c r="I34" s="617"/>
      <c r="J34" s="617"/>
      <c r="K34" s="617"/>
      <c r="L34" s="617"/>
      <c r="M34" s="617"/>
      <c r="N34" s="617"/>
      <c r="O34" s="617"/>
      <c r="P34" s="617"/>
      <c r="Q34" s="617"/>
      <c r="R34" s="618"/>
      <c r="S34" s="15"/>
      <c r="T34" s="10"/>
      <c r="U34" s="379" t="s">
        <v>146</v>
      </c>
      <c r="V34" s="92" t="s">
        <v>141</v>
      </c>
      <c r="W34" s="327" t="e">
        <f>W33*75/(N20-W8)</f>
        <v>#DIV/0!</v>
      </c>
      <c r="X34" s="56" t="s">
        <v>147</v>
      </c>
      <c r="Y34" s="57"/>
      <c r="Z34" s="61"/>
      <c r="AA34" s="327" t="e">
        <f>AA33*75/(N20-AE8)</f>
        <v>#DIV/0!</v>
      </c>
      <c r="AB34" s="56" t="s">
        <v>148</v>
      </c>
      <c r="AC34" s="56"/>
      <c r="AD34" s="94"/>
      <c r="AE34" s="95" t="s">
        <v>149</v>
      </c>
      <c r="AF34" s="61"/>
      <c r="AG34" s="61"/>
      <c r="AH34" s="61"/>
      <c r="AI34" s="61"/>
      <c r="AJ34" s="61"/>
      <c r="AK34" s="61"/>
      <c r="AL34" s="61"/>
      <c r="AM34" s="92" t="s">
        <v>113</v>
      </c>
      <c r="AN34" s="61"/>
      <c r="AO34" s="61"/>
      <c r="AP34" s="434" t="e">
        <f>(4.186*((AL12-$N15+AP32)/2)*(AP8-AL8)+2260*AP31)/(AP30*$E$20)</f>
        <v>#DIV/0!</v>
      </c>
      <c r="AQ34" s="56" t="s">
        <v>150</v>
      </c>
      <c r="AR34" s="14"/>
    </row>
    <row r="35" spans="1:122" ht="15.75" customHeight="1" x14ac:dyDescent="0.2">
      <c r="A35" s="25"/>
      <c r="B35" s="613"/>
      <c r="C35" s="614"/>
      <c r="D35" s="614"/>
      <c r="E35" s="614"/>
      <c r="F35" s="614"/>
      <c r="G35" s="614"/>
      <c r="H35" s="614"/>
      <c r="I35" s="614"/>
      <c r="J35" s="614"/>
      <c r="K35" s="614"/>
      <c r="L35" s="614"/>
      <c r="M35" s="614"/>
      <c r="N35" s="614"/>
      <c r="O35" s="614"/>
      <c r="P35" s="614"/>
      <c r="Q35" s="614"/>
      <c r="R35" s="615"/>
      <c r="S35" s="15"/>
      <c r="T35" s="10"/>
      <c r="U35" s="379" t="s">
        <v>149</v>
      </c>
      <c r="V35" s="92" t="s">
        <v>113</v>
      </c>
      <c r="W35" s="434" t="e">
        <f>(4.186*SUM((W12-$N15)*(AA8-W8),(W13-$N16)*(AA9-W9),(W14-$N17)*(AA10-W10),(W15-$N18)*(AA11-W11))+2260*W31)/(W30*$E20)</f>
        <v>#DIV/0!</v>
      </c>
      <c r="X35" s="56" t="s">
        <v>151</v>
      </c>
      <c r="Y35" s="57"/>
      <c r="Z35" s="61"/>
      <c r="AA35" s="434" t="e">
        <f>(4.186*SUM((AE12-$N15)*(AI8-AE8),(AE13-$N16)*(AI9-AE9),(AE14-$N17)*(AI10-AE10),(AE15-$N18)*(AI11-AE11))+2260*AA31)/(AA30*$E20)</f>
        <v>#DIV/0!</v>
      </c>
      <c r="AB35" s="56" t="s">
        <v>152</v>
      </c>
      <c r="AC35" s="56"/>
      <c r="AD35" s="94"/>
      <c r="AE35" s="95" t="s">
        <v>153</v>
      </c>
      <c r="AF35" s="61"/>
      <c r="AG35" s="61"/>
      <c r="AH35" s="61"/>
      <c r="AI35" s="61"/>
      <c r="AJ35" s="61"/>
      <c r="AK35" s="61"/>
      <c r="AL35" s="61"/>
      <c r="AM35" s="92" t="s">
        <v>154</v>
      </c>
      <c r="AN35" s="61"/>
      <c r="AO35" s="61"/>
      <c r="AP35" s="421" t="e">
        <f>AP30/AP33</f>
        <v>#DIV/0!</v>
      </c>
      <c r="AQ35" s="56" t="s">
        <v>155</v>
      </c>
      <c r="AR35" s="14"/>
    </row>
    <row r="36" spans="1:122" ht="15.75" customHeight="1" thickBot="1" x14ac:dyDescent="0.25">
      <c r="A36" s="25"/>
      <c r="B36" s="110" t="s">
        <v>184</v>
      </c>
      <c r="C36" s="110"/>
      <c r="D36" s="110"/>
      <c r="E36" s="110"/>
      <c r="F36" s="110"/>
      <c r="G36" s="110"/>
      <c r="H36" s="110"/>
      <c r="I36" s="110"/>
      <c r="J36" s="110"/>
      <c r="K36" s="110"/>
      <c r="L36" s="110"/>
      <c r="M36" s="110"/>
      <c r="N36" s="110"/>
      <c r="O36" s="111"/>
      <c r="P36" s="111"/>
      <c r="Q36" s="111"/>
      <c r="R36" s="111"/>
      <c r="S36" s="15"/>
      <c r="T36" s="10"/>
      <c r="U36" s="379" t="s">
        <v>153</v>
      </c>
      <c r="V36" s="92" t="s">
        <v>154</v>
      </c>
      <c r="W36" s="421" t="e">
        <f>W30/W33</f>
        <v>#DIV/0!</v>
      </c>
      <c r="X36" s="92" t="s">
        <v>156</v>
      </c>
      <c r="Y36" s="57"/>
      <c r="Z36" s="61"/>
      <c r="AA36" s="421" t="e">
        <f>AA30/AA33</f>
        <v>#DIV/0!</v>
      </c>
      <c r="AB36" s="56" t="s">
        <v>157</v>
      </c>
      <c r="AC36" s="56"/>
      <c r="AD36" s="94"/>
      <c r="AE36" s="95" t="s">
        <v>158</v>
      </c>
      <c r="AF36" s="61"/>
      <c r="AG36" s="61"/>
      <c r="AH36" s="61"/>
      <c r="AI36" s="61"/>
      <c r="AJ36" s="61"/>
      <c r="AK36" s="61"/>
      <c r="AL36" s="61"/>
      <c r="AM36" s="92" t="s">
        <v>844</v>
      </c>
      <c r="AN36" s="61"/>
      <c r="AO36" s="61"/>
      <c r="AP36" s="421" t="e">
        <f>AP30/AP32*1000</f>
        <v>#DIV/0!</v>
      </c>
      <c r="AQ36" s="56" t="s">
        <v>160</v>
      </c>
      <c r="AR36" s="14"/>
    </row>
    <row r="37" spans="1:122" ht="13.5" customHeight="1" thickTop="1" thickBot="1" x14ac:dyDescent="0.25">
      <c r="A37" s="109"/>
      <c r="B37" s="249"/>
      <c r="C37" s="249"/>
      <c r="D37" s="249"/>
      <c r="E37" s="249"/>
      <c r="F37" s="249"/>
      <c r="G37" s="249"/>
      <c r="H37" s="249"/>
      <c r="I37" s="249"/>
      <c r="J37" s="249"/>
      <c r="K37" s="249"/>
      <c r="L37" s="249"/>
      <c r="M37" s="249"/>
      <c r="N37" s="249"/>
      <c r="O37" s="249"/>
      <c r="P37" s="249"/>
      <c r="Q37" s="249"/>
      <c r="R37" s="249"/>
      <c r="S37" s="112"/>
      <c r="T37" s="10"/>
      <c r="U37" s="379" t="s">
        <v>158</v>
      </c>
      <c r="V37" s="92" t="s">
        <v>845</v>
      </c>
      <c r="W37" s="435" t="e">
        <f>1000*W30/W32</f>
        <v>#DIV/0!</v>
      </c>
      <c r="X37" s="56" t="s">
        <v>161</v>
      </c>
      <c r="Y37" s="57"/>
      <c r="Z37" s="61"/>
      <c r="AA37" s="435" t="e">
        <f>1000*AA30/AA32</f>
        <v>#DIV/0!</v>
      </c>
      <c r="AB37" s="56" t="s">
        <v>162</v>
      </c>
      <c r="AC37" s="56"/>
      <c r="AD37" s="94"/>
      <c r="AE37" s="95" t="s">
        <v>163</v>
      </c>
      <c r="AF37" s="61"/>
      <c r="AG37" s="61"/>
      <c r="AH37" s="61"/>
      <c r="AI37" s="61"/>
      <c r="AJ37" s="61"/>
      <c r="AK37" s="61"/>
      <c r="AL37" s="61"/>
      <c r="AM37" s="92" t="s">
        <v>164</v>
      </c>
      <c r="AN37" s="61"/>
      <c r="AO37" s="61"/>
      <c r="AP37" s="327" t="e">
        <f>AP30*$E$20/(AP33*60)</f>
        <v>#DIV/0!</v>
      </c>
      <c r="AQ37" s="56" t="s">
        <v>165</v>
      </c>
      <c r="AR37" s="14"/>
    </row>
    <row r="38" spans="1:122" ht="15.6" customHeight="1" thickTop="1" x14ac:dyDescent="0.2">
      <c r="B38" s="118" t="str">
        <f>"TEST #9 "&amp;D7</f>
        <v xml:space="preserve">TEST #9 </v>
      </c>
      <c r="S38" s="2"/>
      <c r="T38" s="21"/>
      <c r="U38" s="379" t="s">
        <v>166</v>
      </c>
      <c r="V38" s="92" t="s">
        <v>159</v>
      </c>
      <c r="W38" s="435" t="e">
        <f>W37*75/($N$20-W8)</f>
        <v>#DIV/0!</v>
      </c>
      <c r="X38" s="56" t="s">
        <v>167</v>
      </c>
      <c r="Y38" s="57"/>
      <c r="Z38" s="61"/>
      <c r="AA38" s="435" t="e">
        <f>AA37*75/($N$20-AE8)</f>
        <v>#DIV/0!</v>
      </c>
      <c r="AB38" s="56" t="s">
        <v>168</v>
      </c>
      <c r="AC38" s="56"/>
      <c r="AD38" s="94"/>
      <c r="AE38" s="95" t="s">
        <v>169</v>
      </c>
      <c r="AF38" s="61"/>
      <c r="AG38" s="61"/>
      <c r="AH38" s="61"/>
      <c r="AI38" s="61"/>
      <c r="AJ38" s="61"/>
      <c r="AK38" s="61"/>
      <c r="AL38" s="61"/>
      <c r="AM38" s="92" t="s">
        <v>92</v>
      </c>
      <c r="AN38" s="61"/>
      <c r="AO38" s="61"/>
      <c r="AP38" s="417" t="e">
        <f>W40/AP37</f>
        <v>#DIV/0!</v>
      </c>
      <c r="AQ38" s="92" t="s">
        <v>170</v>
      </c>
      <c r="AR38" s="14"/>
    </row>
    <row r="39" spans="1:122" ht="15.6" customHeight="1" thickBot="1" x14ac:dyDescent="0.25">
      <c r="B39" s="619" t="s">
        <v>747</v>
      </c>
      <c r="C39" s="620"/>
      <c r="D39" s="620"/>
      <c r="E39" s="620"/>
      <c r="F39" s="620"/>
      <c r="G39" s="620"/>
      <c r="H39" s="620"/>
      <c r="I39" s="620"/>
      <c r="J39" s="620"/>
      <c r="K39" s="620"/>
      <c r="L39" s="620"/>
      <c r="M39" s="620"/>
      <c r="N39" s="620"/>
      <c r="O39" s="620"/>
      <c r="P39" s="620"/>
      <c r="Q39" s="620"/>
      <c r="R39" s="621"/>
      <c r="T39" s="21"/>
      <c r="U39" s="379" t="s">
        <v>171</v>
      </c>
      <c r="V39" s="92" t="s">
        <v>172</v>
      </c>
      <c r="W39" s="93" t="e">
        <f>(W38/1000)*E20</f>
        <v>#DIV/0!</v>
      </c>
      <c r="X39" s="56" t="s">
        <v>173</v>
      </c>
      <c r="Y39" s="57"/>
      <c r="Z39" s="61"/>
      <c r="AA39" s="93" t="e">
        <f>(AA38/1000)*E20</f>
        <v>#DIV/0!</v>
      </c>
      <c r="AB39" s="56" t="s">
        <v>174</v>
      </c>
      <c r="AC39" s="56"/>
      <c r="AD39" s="94"/>
      <c r="AE39" s="102" t="s">
        <v>175</v>
      </c>
      <c r="AF39" s="103"/>
      <c r="AG39" s="103"/>
      <c r="AH39" s="103"/>
      <c r="AI39" s="103"/>
      <c r="AJ39" s="103"/>
      <c r="AK39" s="103"/>
      <c r="AL39" s="103"/>
      <c r="AM39" s="104" t="s">
        <v>172</v>
      </c>
      <c r="AN39" s="103"/>
      <c r="AO39" s="103"/>
      <c r="AP39" s="105" t="e">
        <f>(AP36/1000)*E20</f>
        <v>#DIV/0!</v>
      </c>
      <c r="AQ39" s="106" t="s">
        <v>176</v>
      </c>
      <c r="AR39" s="107"/>
    </row>
    <row r="40" spans="1:122" ht="14.25" thickBot="1" x14ac:dyDescent="0.25">
      <c r="B40" s="616"/>
      <c r="C40" s="617"/>
      <c r="D40" s="617"/>
      <c r="E40" s="617"/>
      <c r="F40" s="617"/>
      <c r="G40" s="617"/>
      <c r="H40" s="617"/>
      <c r="I40" s="617"/>
      <c r="J40" s="617"/>
      <c r="K40" s="617"/>
      <c r="L40" s="617"/>
      <c r="M40" s="617"/>
      <c r="N40" s="617"/>
      <c r="O40" s="617"/>
      <c r="P40" s="617"/>
      <c r="Q40" s="617"/>
      <c r="R40" s="618"/>
      <c r="T40" s="21"/>
      <c r="U40" s="380" t="s">
        <v>163</v>
      </c>
      <c r="V40" s="115" t="s">
        <v>164</v>
      </c>
      <c r="W40" s="422" t="e">
        <f>W30*$E$20/(W33*60)</f>
        <v>#DIV/0!</v>
      </c>
      <c r="X40" s="376" t="s">
        <v>177</v>
      </c>
      <c r="Y40" s="252"/>
      <c r="Z40" s="114"/>
      <c r="AA40" s="422" t="e">
        <f>AA30*$E$20/(AA33*60)</f>
        <v>#DIV/0!</v>
      </c>
      <c r="AB40" s="376" t="s">
        <v>178</v>
      </c>
      <c r="AC40" s="376"/>
      <c r="AD40" s="253"/>
      <c r="AE40" s="3" t="s">
        <v>179</v>
      </c>
      <c r="AM40" s="3" t="s">
        <v>20</v>
      </c>
      <c r="AP40" s="388" t="e">
        <f>IF(ISERROR(AA38),5*(W38+AP36),5*(AVERAGE(W38,AA38)+AP36))</f>
        <v>#DIV/0!</v>
      </c>
      <c r="AQ40" s="108" t="s">
        <v>180</v>
      </c>
      <c r="AR40" s="14"/>
      <c r="DG40" s="1"/>
      <c r="DH40" s="1"/>
      <c r="DI40" s="1"/>
      <c r="DJ40" s="1"/>
      <c r="DK40" s="1"/>
      <c r="DL40" s="1"/>
      <c r="DM40" s="1"/>
      <c r="DN40" s="1"/>
      <c r="DO40" s="1"/>
      <c r="DP40" s="1"/>
      <c r="DQ40" s="1"/>
      <c r="DR40" s="1"/>
    </row>
    <row r="41" spans="1:122" ht="15.6" customHeight="1" thickTop="1" thickBot="1" x14ac:dyDescent="0.2">
      <c r="B41" s="616"/>
      <c r="C41" s="617"/>
      <c r="D41" s="617"/>
      <c r="E41" s="617"/>
      <c r="F41" s="617"/>
      <c r="G41" s="617"/>
      <c r="H41" s="617"/>
      <c r="I41" s="617"/>
      <c r="J41" s="617"/>
      <c r="K41" s="617"/>
      <c r="L41" s="617"/>
      <c r="M41" s="617"/>
      <c r="N41" s="617"/>
      <c r="O41" s="617"/>
      <c r="P41" s="617"/>
      <c r="Q41" s="617"/>
      <c r="R41" s="618"/>
      <c r="T41" s="13"/>
      <c r="U41" s="13"/>
      <c r="V41" s="13"/>
      <c r="W41" s="13"/>
      <c r="X41" s="13"/>
      <c r="Y41" s="8"/>
      <c r="Z41" s="8"/>
      <c r="AA41" s="8"/>
      <c r="AB41" s="13"/>
      <c r="AC41" s="8"/>
      <c r="AD41" s="384"/>
      <c r="AE41" s="114" t="s">
        <v>181</v>
      </c>
      <c r="AF41" s="114"/>
      <c r="AG41" s="114"/>
      <c r="AH41" s="114"/>
      <c r="AI41" s="114"/>
      <c r="AJ41" s="114"/>
      <c r="AK41" s="114"/>
      <c r="AL41" s="114"/>
      <c r="AM41" s="114" t="s">
        <v>182</v>
      </c>
      <c r="AN41" s="114"/>
      <c r="AO41" s="114"/>
      <c r="AP41" s="254" t="e">
        <f>(AP40/1000)*E20</f>
        <v>#DIV/0!</v>
      </c>
      <c r="AQ41" s="115" t="s">
        <v>183</v>
      </c>
      <c r="AR41" s="116"/>
      <c r="DG41" s="1"/>
      <c r="DH41" s="1"/>
      <c r="DI41" s="1"/>
      <c r="DJ41" s="1"/>
      <c r="DK41" s="1"/>
      <c r="DL41" s="1"/>
      <c r="DM41" s="1"/>
      <c r="DN41" s="1"/>
      <c r="DO41" s="1"/>
      <c r="DP41" s="1"/>
      <c r="DQ41" s="1"/>
      <c r="DR41" s="1"/>
    </row>
    <row r="42" spans="1:122" ht="15.6" customHeight="1" thickTop="1" thickBot="1" x14ac:dyDescent="0.2">
      <c r="B42" s="616"/>
      <c r="C42" s="617"/>
      <c r="D42" s="617"/>
      <c r="E42" s="617"/>
      <c r="F42" s="617"/>
      <c r="G42" s="617"/>
      <c r="H42" s="617"/>
      <c r="I42" s="617"/>
      <c r="J42" s="617"/>
      <c r="K42" s="617"/>
      <c r="L42" s="617"/>
      <c r="M42" s="617"/>
      <c r="N42" s="617"/>
      <c r="O42" s="617"/>
      <c r="P42" s="617"/>
      <c r="Q42" s="617"/>
      <c r="R42" s="618"/>
      <c r="U42" s="387" t="s">
        <v>966</v>
      </c>
      <c r="W42" s="108">
        <v>1</v>
      </c>
      <c r="DG42" s="1"/>
      <c r="DH42" s="1"/>
      <c r="DI42" s="1"/>
      <c r="DJ42" s="1"/>
      <c r="DK42" s="1"/>
      <c r="DL42" s="1"/>
      <c r="DM42" s="1"/>
      <c r="DN42" s="1"/>
      <c r="DO42" s="1"/>
      <c r="DP42" s="1"/>
      <c r="DQ42" s="1"/>
      <c r="DR42" s="1"/>
    </row>
    <row r="43" spans="1:122" ht="15.6" customHeight="1" thickTop="1" x14ac:dyDescent="0.15">
      <c r="B43" s="616"/>
      <c r="C43" s="617"/>
      <c r="D43" s="617"/>
      <c r="E43" s="617"/>
      <c r="F43" s="617"/>
      <c r="G43" s="617"/>
      <c r="H43" s="617"/>
      <c r="I43" s="617"/>
      <c r="J43" s="617"/>
      <c r="K43" s="617"/>
      <c r="L43" s="617"/>
      <c r="M43" s="617"/>
      <c r="N43" s="617"/>
      <c r="O43" s="617"/>
      <c r="P43" s="617"/>
      <c r="Q43" s="617"/>
      <c r="R43" s="618"/>
      <c r="U43" s="283" t="s">
        <v>952</v>
      </c>
      <c r="V43" s="284"/>
      <c r="W43" s="285"/>
      <c r="X43" s="410"/>
      <c r="Y43" s="287"/>
      <c r="Z43" s="287"/>
      <c r="AA43" s="287"/>
      <c r="AB43" s="287"/>
      <c r="AC43" s="287"/>
      <c r="AD43" s="287"/>
      <c r="AE43" s="285" t="s">
        <v>88</v>
      </c>
      <c r="AF43" s="288" t="s">
        <v>866</v>
      </c>
      <c r="DG43" s="1"/>
      <c r="DH43" s="1"/>
      <c r="DI43" s="1"/>
      <c r="DJ43" s="1"/>
      <c r="DK43" s="1"/>
      <c r="DL43" s="1"/>
      <c r="DM43" s="1"/>
      <c r="DN43" s="1"/>
      <c r="DO43" s="1"/>
      <c r="DP43" s="1"/>
      <c r="DQ43" s="1"/>
      <c r="DR43" s="1"/>
    </row>
    <row r="44" spans="1:122" ht="15.6" customHeight="1" x14ac:dyDescent="0.15">
      <c r="B44" s="616"/>
      <c r="C44" s="617"/>
      <c r="D44" s="617"/>
      <c r="E44" s="617"/>
      <c r="F44" s="617"/>
      <c r="G44" s="617"/>
      <c r="H44" s="617"/>
      <c r="I44" s="617"/>
      <c r="J44" s="617"/>
      <c r="K44" s="617"/>
      <c r="L44" s="617"/>
      <c r="M44" s="617"/>
      <c r="N44" s="617"/>
      <c r="O44" s="617"/>
      <c r="P44" s="617"/>
      <c r="Q44" s="617"/>
      <c r="R44" s="618"/>
      <c r="U44" s="289" t="s">
        <v>851</v>
      </c>
      <c r="V44" s="290"/>
      <c r="AB44" s="22" t="s">
        <v>113</v>
      </c>
      <c r="AE44" s="396" t="e">
        <f>IF(AA33=0,W35,(W35+AA35)/2)</f>
        <v>#DIV/0!</v>
      </c>
      <c r="AF44" s="423" t="e">
        <f>IF(AE44=0,"-",IF(AE44&lt;Lists!E15,"0",IF(AE44&lt;Lists!I15,1,IF(AE44&lt;Lists!K15,2,IF(AE44&lt;Lists!M15,3,4)))))</f>
        <v>#DIV/0!</v>
      </c>
      <c r="DG44" s="1"/>
      <c r="DH44" s="1"/>
      <c r="DI44" s="1"/>
      <c r="DJ44" s="1"/>
      <c r="DK44" s="1"/>
      <c r="DL44" s="1"/>
      <c r="DM44" s="1"/>
      <c r="DN44" s="1"/>
      <c r="DO44" s="1"/>
      <c r="DP44" s="1"/>
      <c r="DQ44" s="1"/>
      <c r="DR44" s="1"/>
    </row>
    <row r="45" spans="1:122" ht="15.6" customHeight="1" x14ac:dyDescent="0.15">
      <c r="B45" s="616"/>
      <c r="C45" s="617"/>
      <c r="D45" s="617"/>
      <c r="E45" s="617"/>
      <c r="F45" s="617"/>
      <c r="G45" s="617"/>
      <c r="H45" s="617"/>
      <c r="I45" s="617"/>
      <c r="J45" s="617"/>
      <c r="K45" s="617"/>
      <c r="L45" s="617"/>
      <c r="M45" s="617"/>
      <c r="N45" s="617"/>
      <c r="O45" s="617"/>
      <c r="P45" s="617"/>
      <c r="Q45" s="617"/>
      <c r="R45" s="618"/>
      <c r="U45" s="289" t="s">
        <v>958</v>
      </c>
      <c r="V45" s="290"/>
      <c r="AB45" s="22" t="s">
        <v>959</v>
      </c>
      <c r="AE45" s="403" t="e">
        <f>AP30*'General Information'!L22/(AP32*AP33*1000)</f>
        <v>#DIV/0!</v>
      </c>
      <c r="AF45" s="424" t="e">
        <f>IF(AE45&gt;Lists!E16,"0",IF(AE45&gt;Lists!I16,1,IF(AE45&gt;Lists!K16,2,IF(AE45&gt;Lists!M16,3,4))))</f>
        <v>#DIV/0!</v>
      </c>
    </row>
    <row r="46" spans="1:122" ht="15.6" customHeight="1" x14ac:dyDescent="0.15">
      <c r="B46" s="616"/>
      <c r="C46" s="617"/>
      <c r="D46" s="617"/>
      <c r="E46" s="617"/>
      <c r="F46" s="617"/>
      <c r="G46" s="617"/>
      <c r="H46" s="617"/>
      <c r="I46" s="617"/>
      <c r="J46" s="617"/>
      <c r="K46" s="617"/>
      <c r="L46" s="617"/>
      <c r="M46" s="617"/>
      <c r="N46" s="617"/>
      <c r="O46" s="617"/>
      <c r="P46" s="617"/>
      <c r="Q46" s="617"/>
      <c r="R46" s="618"/>
      <c r="U46" s="289" t="s">
        <v>854</v>
      </c>
      <c r="V46" s="290"/>
      <c r="AB46" s="22" t="s">
        <v>960</v>
      </c>
      <c r="AE46" s="402" t="e">
        <f>IF(W42=3,IF(AA33=0,1000000/'General Information'!L22*AA23/(W35*W30),1000000/'General Information'!L22*(AA23/(W35*W30)+AI23/(AA35*AA30))/2),IF(W42=1,IF(AA33=0,1000000/'General Information'!L22*W70/(W35*W30),1000000/'General Information'!L22*(W70/(W35*W30)+AA70/(AA35*AA30))/2),IF(AA33=0,1000000/'General Information'!L22*W74/(W35*W30),1000000/'General Information'!L22*(W74/(W35*W30)+AA74/(AA35*AA30))/2)))</f>
        <v>#DIV/0!</v>
      </c>
      <c r="AF46" s="424" t="e">
        <f xml:space="preserve"> IF(AE46&gt;Lists!E17,"0",IF(AE46&gt;Lists!I17,1,IF(AE46&gt;Lists!K17,2,IF(AE46&gt;Lists!M17,3,4))))</f>
        <v>#DIV/0!</v>
      </c>
    </row>
    <row r="47" spans="1:122" ht="15.6" customHeight="1" x14ac:dyDescent="0.15">
      <c r="B47" s="616"/>
      <c r="C47" s="617"/>
      <c r="D47" s="617"/>
      <c r="E47" s="617"/>
      <c r="F47" s="617"/>
      <c r="G47" s="617"/>
      <c r="H47" s="617"/>
      <c r="I47" s="617"/>
      <c r="J47" s="617"/>
      <c r="K47" s="617"/>
      <c r="L47" s="617"/>
      <c r="M47" s="617"/>
      <c r="N47" s="617"/>
      <c r="O47" s="617"/>
      <c r="P47" s="617"/>
      <c r="Q47" s="617"/>
      <c r="R47" s="618"/>
      <c r="U47" s="289" t="s">
        <v>856</v>
      </c>
      <c r="V47" s="290"/>
      <c r="AB47" s="22" t="s">
        <v>961</v>
      </c>
      <c r="AE47" s="403" t="e">
        <f>IF(W42=3,AP23/(AP33*AP32)*1000,IF(W42=1,AE70/(AP33*AP32)*1000,AE74/(AP33*AP32)*1000))</f>
        <v>#DIV/0!</v>
      </c>
      <c r="AF47" s="424" t="e">
        <f>IF(AE47&gt;Lists!E18,"0",IF(AE47&gt;Lists!I18,1,IF(AE47&gt;Lists!K18,2,IF(AE47&gt;Lists!M18,3,4))))</f>
        <v>#DIV/0!</v>
      </c>
    </row>
    <row r="48" spans="1:122" ht="15.6" customHeight="1" x14ac:dyDescent="0.15">
      <c r="B48" s="613"/>
      <c r="C48" s="614"/>
      <c r="D48" s="614"/>
      <c r="E48" s="614"/>
      <c r="F48" s="614"/>
      <c r="G48" s="614"/>
      <c r="H48" s="614"/>
      <c r="I48" s="614"/>
      <c r="J48" s="614"/>
      <c r="K48" s="614"/>
      <c r="L48" s="614"/>
      <c r="M48" s="614"/>
      <c r="N48" s="614"/>
      <c r="O48" s="614"/>
      <c r="P48" s="614"/>
      <c r="Q48" s="614"/>
      <c r="R48" s="615"/>
      <c r="U48" s="289" t="s">
        <v>858</v>
      </c>
      <c r="V48" s="290"/>
      <c r="AB48" s="22" t="s">
        <v>962</v>
      </c>
      <c r="AE48" s="404" t="e">
        <f>IF(W42=3,IF(AA33=0,10^9/'General Information'!L22*AA24/(W35*W30),10^9/'General Information'!L22*(AA24/(W35*W30)+AI24/(AA35*AA30))/2),IF(W42=1,IF(AA33=0,10^9/'General Information'!L22*W71/(W35*W30),10^9/'General Information'!L22*(W71/(W35*W30)+AA71/(AA35*AA30))/2),IF(AA33=0,10^9/'General Information'!L22*W75/(W35*W30),10^9/'General Information'!L22*(W75/(W35*W30)+AA75/(AA35*AA30))/2)))</f>
        <v>#DIV/0!</v>
      </c>
      <c r="AF48" s="424" t="e">
        <f>IF(AE48&gt;Lists!E19,"0",IF(AE48&gt;Lists!I19,1,IF(AE48&gt;Lists!K19,2,IF(AE48&gt;Lists!M19,3,4))))</f>
        <v>#DIV/0!</v>
      </c>
    </row>
    <row r="49" spans="2:35" ht="15.6" customHeight="1" x14ac:dyDescent="0.15">
      <c r="C49" s="1"/>
      <c r="H49" s="1"/>
      <c r="I49" s="1"/>
      <c r="J49" s="1"/>
      <c r="K49" s="1"/>
      <c r="L49" s="1"/>
      <c r="M49" s="1"/>
      <c r="N49" s="1"/>
      <c r="O49" s="1"/>
      <c r="P49" s="1"/>
      <c r="Q49" s="1"/>
      <c r="R49" s="1"/>
      <c r="U49" s="289" t="s">
        <v>860</v>
      </c>
      <c r="V49" s="290"/>
      <c r="AB49" s="22" t="s">
        <v>963</v>
      </c>
      <c r="AE49" s="397" t="e">
        <f>IF(W42=3,AP24/(AP33*AP32)*1000000,IF(W42=1,AE71/(AP33*AP32)*1000000,AE75/(AP33*AP32)*1000000))</f>
        <v>#DIV/0!</v>
      </c>
      <c r="AF49" s="424" t="e">
        <f>IF(AE49&gt;Lists!E20,"0",IF(AE49&gt;Lists!I20,1,IF(AE49&gt;Lists!K20,2,IF(AE49&gt;Lists!M20,3,4))))</f>
        <v>#DIV/0!</v>
      </c>
    </row>
    <row r="50" spans="2:35" ht="15.6" customHeight="1" x14ac:dyDescent="0.15">
      <c r="B50" s="619" t="s">
        <v>802</v>
      </c>
      <c r="C50" s="620"/>
      <c r="D50" s="620"/>
      <c r="E50" s="620"/>
      <c r="F50" s="620"/>
      <c r="G50" s="620"/>
      <c r="H50" s="620"/>
      <c r="I50" s="620"/>
      <c r="J50" s="620"/>
      <c r="K50" s="620"/>
      <c r="L50" s="620"/>
      <c r="M50" s="620"/>
      <c r="N50" s="620"/>
      <c r="O50" s="620"/>
      <c r="P50" s="620"/>
      <c r="Q50" s="620"/>
      <c r="R50" s="621"/>
      <c r="U50" s="289" t="s">
        <v>879</v>
      </c>
      <c r="V50" s="290"/>
      <c r="AB50" s="22" t="s">
        <v>154</v>
      </c>
      <c r="AE50" s="397" t="e">
        <f>IF(W42=3,IF(IF(AA33=0,AA23/W33,(AA23/W33+AI23/AA33)/2)&lt;(AP23/AP33),AP23/AP33,IF(AA33=0,AA23/W33,(AA23/W33+AI23/AA33)/2)),IF(W42=1,IF(IF(AA33=0,W70/W33,(W70/W33+AA70/AA33)/2)&lt;(AE70/AP33),AE70/AP33,IF(AA33=0,W70/W33,(W70/W33+AA70/AA33)/2)),IF(IF(AA33=0,W74/W33,(W74/W33+AA74/AA33)/2)&lt;(AE74/AP33),AE74/AP33,IF(AA33=0,W74/W33,(W74/W33+AA74/AA33)/2))))</f>
        <v>#DIV/0!</v>
      </c>
      <c r="AF50" s="424" t="e">
        <f>IF(AE50&gt;Lists!E21,"0",IF(AE50&gt;Lists!I21,1,IF(AE50&gt;Lists!K21,2,IF(AE50&gt;Lists!M21,3,4))))</f>
        <v>#DIV/0!</v>
      </c>
    </row>
    <row r="51" spans="2:35" ht="15.6" customHeight="1" thickBot="1" x14ac:dyDescent="0.2">
      <c r="B51" s="616"/>
      <c r="C51" s="617"/>
      <c r="D51" s="617"/>
      <c r="E51" s="617"/>
      <c r="F51" s="617"/>
      <c r="G51" s="617"/>
      <c r="H51" s="617"/>
      <c r="I51" s="617"/>
      <c r="J51" s="617"/>
      <c r="K51" s="617"/>
      <c r="L51" s="617"/>
      <c r="M51" s="617"/>
      <c r="N51" s="617"/>
      <c r="O51" s="617"/>
      <c r="P51" s="617"/>
      <c r="Q51" s="617"/>
      <c r="R51" s="618"/>
      <c r="U51" s="291" t="s">
        <v>878</v>
      </c>
      <c r="V51" s="292"/>
      <c r="W51" s="269"/>
      <c r="X51" s="269"/>
      <c r="Y51" s="269"/>
      <c r="Z51" s="269"/>
      <c r="AA51" s="269"/>
      <c r="AB51" s="270" t="s">
        <v>864</v>
      </c>
      <c r="AC51" s="269"/>
      <c r="AD51" s="269"/>
      <c r="AE51" s="405" t="e">
        <f>IF(W42=3,IF(IF(AA33=0,AA24/W33,(AA24/W33+AI24/AA33)/2)&lt;(AP24/AP33),AP24/AP33*1000,IF(AA33=0,AA24/W33,(AA24/W33+AI24/AA33)/2)*1000),IF(W42=1,IF(IF(AA33=0,W71/W33,(W71/W33+AA71/AA33)/2)&lt;(AE71/AP33),AE71/AP33*1000,IF(AA33=0,W71/W33,(W71/W33+AA71/AA33)/2)*1000),IF(IF(AA33=0,W75/W33,(W75/W33+AA75/AA33)/2)&lt;(AE75/AP33),AE75/AP33*1000,IF(AA33=0,W75/W33,(W75/W33+AA75/AA33)/2)*1000)))</f>
        <v>#DIV/0!</v>
      </c>
      <c r="AF51" s="425" t="e">
        <f>IF(AE51&gt;Lists!E22,"0",IF(AE51&gt;Lists!I22,1,IF(AE51&gt;Lists!K22,2,IF(AE51&gt;Lists!M22,3,4))))</f>
        <v>#DIV/0!</v>
      </c>
      <c r="AI51" s="13"/>
    </row>
    <row r="52" spans="2:35" ht="15.6" customHeight="1" thickTop="1" thickBot="1" x14ac:dyDescent="0.2">
      <c r="B52" s="616"/>
      <c r="C52" s="617"/>
      <c r="D52" s="617"/>
      <c r="E52" s="617"/>
      <c r="F52" s="617"/>
      <c r="G52" s="617"/>
      <c r="H52" s="617"/>
      <c r="I52" s="617"/>
      <c r="J52" s="617"/>
      <c r="K52" s="617"/>
      <c r="L52" s="617"/>
      <c r="M52" s="617"/>
      <c r="N52" s="617"/>
      <c r="O52" s="617"/>
      <c r="P52" s="617"/>
      <c r="Q52" s="617"/>
      <c r="R52" s="618"/>
      <c r="U52" s="118" t="str">
        <f>"TEST #9 "&amp;D7</f>
        <v xml:space="preserve">TEST #9 </v>
      </c>
      <c r="V52" s="86" t="s">
        <v>804</v>
      </c>
      <c r="AI52" s="13"/>
    </row>
    <row r="53" spans="2:35" ht="15.6" customHeight="1" thickTop="1" x14ac:dyDescent="0.15">
      <c r="B53" s="616"/>
      <c r="C53" s="617"/>
      <c r="D53" s="617"/>
      <c r="E53" s="617"/>
      <c r="F53" s="617"/>
      <c r="G53" s="617"/>
      <c r="H53" s="617"/>
      <c r="I53" s="617"/>
      <c r="J53" s="617"/>
      <c r="K53" s="617"/>
      <c r="L53" s="617"/>
      <c r="M53" s="617"/>
      <c r="N53" s="617"/>
      <c r="O53" s="617"/>
      <c r="P53" s="617"/>
      <c r="Q53" s="617"/>
      <c r="R53" s="618"/>
      <c r="T53" s="7"/>
      <c r="U53" s="8"/>
      <c r="V53" s="8"/>
      <c r="W53" s="260" t="s">
        <v>110</v>
      </c>
      <c r="X53" s="8"/>
      <c r="Y53" s="261"/>
      <c r="Z53" s="8"/>
      <c r="AA53" s="260" t="s">
        <v>111</v>
      </c>
      <c r="AB53" s="8"/>
      <c r="AC53" s="261"/>
      <c r="AD53" s="8"/>
      <c r="AE53" s="260" t="s">
        <v>2</v>
      </c>
      <c r="AF53" s="8"/>
      <c r="AG53" s="146"/>
      <c r="AH53" s="146"/>
      <c r="AI53" s="271"/>
    </row>
    <row r="54" spans="2:35" ht="15.6" customHeight="1" x14ac:dyDescent="0.15">
      <c r="B54" s="616"/>
      <c r="C54" s="617"/>
      <c r="D54" s="617"/>
      <c r="E54" s="617"/>
      <c r="F54" s="617"/>
      <c r="G54" s="617"/>
      <c r="H54" s="617"/>
      <c r="I54" s="617"/>
      <c r="J54" s="617"/>
      <c r="K54" s="617"/>
      <c r="L54" s="617"/>
      <c r="M54" s="617"/>
      <c r="N54" s="617"/>
      <c r="O54" s="617"/>
      <c r="P54" s="617"/>
      <c r="Q54" s="617"/>
      <c r="R54" s="618"/>
      <c r="T54" s="10"/>
      <c r="U54" s="88" t="s">
        <v>116</v>
      </c>
      <c r="V54" s="89" t="s">
        <v>9</v>
      </c>
      <c r="W54" s="89" t="s">
        <v>10</v>
      </c>
      <c r="X54" s="89" t="s">
        <v>11</v>
      </c>
      <c r="Y54" s="46"/>
      <c r="Z54" s="13"/>
      <c r="AA54" s="89" t="s">
        <v>10</v>
      </c>
      <c r="AB54" s="89" t="s">
        <v>11</v>
      </c>
      <c r="AC54" s="46"/>
      <c r="AD54" s="13"/>
      <c r="AE54" s="89" t="s">
        <v>10</v>
      </c>
      <c r="AF54" s="89" t="s">
        <v>11</v>
      </c>
      <c r="AG54" s="71"/>
      <c r="AH54" s="71"/>
      <c r="AI54" s="271"/>
    </row>
    <row r="55" spans="2:35" ht="15.6" customHeight="1" x14ac:dyDescent="0.3">
      <c r="B55" s="616"/>
      <c r="C55" s="617"/>
      <c r="D55" s="617"/>
      <c r="E55" s="617"/>
      <c r="F55" s="617"/>
      <c r="G55" s="617"/>
      <c r="H55" s="617"/>
      <c r="I55" s="617"/>
      <c r="J55" s="617"/>
      <c r="K55" s="617"/>
      <c r="L55" s="617"/>
      <c r="M55" s="617"/>
      <c r="N55" s="617"/>
      <c r="O55" s="617"/>
      <c r="P55" s="617"/>
      <c r="Q55" s="617"/>
      <c r="R55" s="618"/>
      <c r="T55" s="10"/>
      <c r="U55" s="91" t="s">
        <v>805</v>
      </c>
      <c r="V55" s="92" t="s">
        <v>806</v>
      </c>
      <c r="W55" s="427">
        <f>'General Information'!$C$24*W33/60</f>
        <v>0</v>
      </c>
      <c r="X55" s="350" t="s">
        <v>884</v>
      </c>
      <c r="Y55" s="57"/>
      <c r="Z55" s="61"/>
      <c r="AA55" s="426">
        <f>'General Information'!$C$24*AA33/60</f>
        <v>0</v>
      </c>
      <c r="AB55" s="351" t="s">
        <v>885</v>
      </c>
      <c r="AC55" s="46"/>
      <c r="AD55" s="13"/>
      <c r="AE55" s="426">
        <f>'General Information'!$C$24*AP33/60</f>
        <v>0</v>
      </c>
      <c r="AF55" s="351" t="s">
        <v>886</v>
      </c>
      <c r="AG55" s="71"/>
      <c r="AH55" s="71"/>
      <c r="AI55" s="271"/>
    </row>
    <row r="56" spans="2:35" ht="15.6" customHeight="1" x14ac:dyDescent="0.3">
      <c r="B56" s="616"/>
      <c r="C56" s="617"/>
      <c r="D56" s="617"/>
      <c r="E56" s="617"/>
      <c r="F56" s="617"/>
      <c r="G56" s="617"/>
      <c r="H56" s="617"/>
      <c r="I56" s="617"/>
      <c r="J56" s="617"/>
      <c r="K56" s="617"/>
      <c r="L56" s="617"/>
      <c r="M56" s="617"/>
      <c r="N56" s="617"/>
      <c r="O56" s="617"/>
      <c r="P56" s="617"/>
      <c r="Q56" s="617"/>
      <c r="R56" s="618"/>
      <c r="T56" s="10"/>
      <c r="U56" s="91" t="s">
        <v>814</v>
      </c>
      <c r="V56" s="92" t="s">
        <v>781</v>
      </c>
      <c r="W56" s="421" t="e">
        <f>((AA18-$N21)+(AA19-$N22)+(AA20-$N23)/15/('General Information'!$C$22/0.008314/(AA21+273.15)))</f>
        <v>#DIV/0!</v>
      </c>
      <c r="X56" s="350" t="s">
        <v>887</v>
      </c>
      <c r="Y56" s="57"/>
      <c r="Z56" s="61"/>
      <c r="AA56" s="429" t="e">
        <f>((AI18-$N21)+(AI19-$N22)+(AI20-$N23)/15/('General Information'!$C$22/0.008314/(AI21+273.15)))</f>
        <v>#DIV/0!</v>
      </c>
      <c r="AB56" s="351" t="s">
        <v>888</v>
      </c>
      <c r="AC56" s="57"/>
      <c r="AD56" s="13"/>
      <c r="AE56" s="429" t="e">
        <f>((AP18-$N21)+(AP19-$N22)+(AP20-$N23)/15/('General Information'!$C$22/0.008314/(AP21+273.15)))</f>
        <v>#DIV/0!</v>
      </c>
      <c r="AF56" s="351" t="s">
        <v>889</v>
      </c>
      <c r="AG56" s="71"/>
      <c r="AH56" s="71"/>
      <c r="AI56" s="271"/>
    </row>
    <row r="57" spans="2:35" ht="15.6" customHeight="1" x14ac:dyDescent="0.3">
      <c r="B57" s="616"/>
      <c r="C57" s="617"/>
      <c r="D57" s="617"/>
      <c r="E57" s="617"/>
      <c r="F57" s="617"/>
      <c r="G57" s="617"/>
      <c r="H57" s="617"/>
      <c r="I57" s="617"/>
      <c r="J57" s="617"/>
      <c r="K57" s="617"/>
      <c r="L57" s="617"/>
      <c r="M57" s="617"/>
      <c r="N57" s="617"/>
      <c r="O57" s="617"/>
      <c r="P57" s="617"/>
      <c r="Q57" s="617"/>
      <c r="R57" s="618"/>
      <c r="T57" s="10"/>
      <c r="U57" s="91" t="s">
        <v>807</v>
      </c>
      <c r="V57" s="92" t="s">
        <v>808</v>
      </c>
      <c r="W57" s="395" t="e">
        <f>'General Information'!$C$22/0.008314/(AA21+273.15)*W56*0.000001*12</f>
        <v>#DIV/0!</v>
      </c>
      <c r="X57" s="350" t="s">
        <v>890</v>
      </c>
      <c r="Y57" s="57"/>
      <c r="Z57" s="61"/>
      <c r="AA57" s="392" t="e">
        <f>'General Information'!$C$22/0.008314/(AI21+273.15)*AA56*0.000001*12</f>
        <v>#DIV/0!</v>
      </c>
      <c r="AB57" s="351" t="s">
        <v>891</v>
      </c>
      <c r="AC57" s="57"/>
      <c r="AD57" s="13"/>
      <c r="AE57" s="392" t="e">
        <f>'General Information'!$C$22/0.008314/(AP21+273.15)*AE56*0.000001*12</f>
        <v>#DIV/0!</v>
      </c>
      <c r="AF57" s="351" t="s">
        <v>892</v>
      </c>
      <c r="AG57" s="71"/>
      <c r="AH57" s="71"/>
      <c r="AI57" s="271"/>
    </row>
    <row r="58" spans="2:35" ht="15.6" customHeight="1" x14ac:dyDescent="0.15">
      <c r="B58" s="616"/>
      <c r="C58" s="617"/>
      <c r="D58" s="617"/>
      <c r="E58" s="617"/>
      <c r="F58" s="617"/>
      <c r="G58" s="617"/>
      <c r="H58" s="617"/>
      <c r="I58" s="617"/>
      <c r="J58" s="617"/>
      <c r="K58" s="617"/>
      <c r="L58" s="617"/>
      <c r="M58" s="617"/>
      <c r="N58" s="617"/>
      <c r="O58" s="617"/>
      <c r="P58" s="617"/>
      <c r="Q58" s="617"/>
      <c r="R58" s="618"/>
      <c r="T58" s="10"/>
      <c r="U58" s="91" t="s">
        <v>877</v>
      </c>
      <c r="V58" s="92" t="s">
        <v>20</v>
      </c>
      <c r="W58" s="93" t="e">
        <f>W57*W55/fuelFracC</f>
        <v>#DIV/0!</v>
      </c>
      <c r="X58" s="351" t="s">
        <v>893</v>
      </c>
      <c r="Y58" s="57"/>
      <c r="Z58" s="61"/>
      <c r="AA58" s="392" t="e">
        <f>AA57*AA55/fuelFracC</f>
        <v>#DIV/0!</v>
      </c>
      <c r="AB58" s="351" t="s">
        <v>894</v>
      </c>
      <c r="AC58" s="57"/>
      <c r="AD58" s="13"/>
      <c r="AE58" s="392" t="e">
        <f>AE57*AE55/fuelFracC</f>
        <v>#DIV/0!</v>
      </c>
      <c r="AF58" s="351" t="s">
        <v>895</v>
      </c>
      <c r="AG58" s="13"/>
      <c r="AH58" s="13"/>
      <c r="AI58" s="271"/>
    </row>
    <row r="59" spans="2:35" ht="15.6" customHeight="1" x14ac:dyDescent="0.15">
      <c r="B59" s="613"/>
      <c r="C59" s="614"/>
      <c r="D59" s="614"/>
      <c r="E59" s="614"/>
      <c r="F59" s="614"/>
      <c r="G59" s="614"/>
      <c r="H59" s="614"/>
      <c r="I59" s="614"/>
      <c r="J59" s="614"/>
      <c r="K59" s="614"/>
      <c r="L59" s="614"/>
      <c r="M59" s="614"/>
      <c r="N59" s="614"/>
      <c r="O59" s="614"/>
      <c r="P59" s="614"/>
      <c r="Q59" s="614"/>
      <c r="R59" s="615"/>
      <c r="T59" s="10"/>
      <c r="U59" s="13" t="s">
        <v>824</v>
      </c>
      <c r="V59" s="22" t="s">
        <v>113</v>
      </c>
      <c r="W59" s="431" t="e">
        <f>W58/((1-$E$18)*(W28)-W29*charFracC/'General Information'!L23)</f>
        <v>#DIV/0!</v>
      </c>
      <c r="X59" s="351" t="s">
        <v>896</v>
      </c>
      <c r="Y59" s="334"/>
      <c r="Z59" s="335"/>
      <c r="AA59" s="430" t="e">
        <f>AA58/((1-$E$18)*(AA28)-AA29*charFracC/'General Information'!L23)</f>
        <v>#DIV/0!</v>
      </c>
      <c r="AB59" s="351" t="s">
        <v>897</v>
      </c>
      <c r="AC59" s="334"/>
      <c r="AD59" s="336"/>
      <c r="AE59" s="430" t="e">
        <f>AE58/((1-$E$18)*(AP28)-AP29*charFracC/'General Information'!L23)</f>
        <v>#DIV/0!</v>
      </c>
      <c r="AF59" s="351" t="s">
        <v>898</v>
      </c>
      <c r="AG59" s="13"/>
      <c r="AH59" s="13"/>
      <c r="AI59" s="271"/>
    </row>
    <row r="60" spans="2:35" ht="15.6" customHeight="1" x14ac:dyDescent="0.15">
      <c r="T60" s="10"/>
      <c r="U60" s="262" t="s">
        <v>813</v>
      </c>
      <c r="V60" s="13"/>
      <c r="W60" s="312"/>
      <c r="X60" s="56"/>
      <c r="Y60" s="57"/>
      <c r="Z60" s="61"/>
      <c r="AA60" s="2"/>
      <c r="AB60" s="22"/>
      <c r="AC60" s="57"/>
      <c r="AD60" s="13"/>
      <c r="AE60" s="312"/>
      <c r="AF60" s="22"/>
      <c r="AG60" s="22"/>
      <c r="AH60" s="13"/>
      <c r="AI60" s="271"/>
    </row>
    <row r="61" spans="2:35" ht="15.6" customHeight="1" x14ac:dyDescent="0.15">
      <c r="B61" s="619" t="s">
        <v>803</v>
      </c>
      <c r="C61" s="620"/>
      <c r="D61" s="620"/>
      <c r="E61" s="620"/>
      <c r="F61" s="620"/>
      <c r="G61" s="620"/>
      <c r="H61" s="620"/>
      <c r="I61" s="620"/>
      <c r="J61" s="620"/>
      <c r="K61" s="620"/>
      <c r="L61" s="620"/>
      <c r="M61" s="620"/>
      <c r="N61" s="620"/>
      <c r="O61" s="620"/>
      <c r="P61" s="620"/>
      <c r="Q61" s="620"/>
      <c r="R61" s="621"/>
      <c r="T61" s="10"/>
      <c r="U61" s="13" t="s">
        <v>812</v>
      </c>
      <c r="V61" s="22" t="s">
        <v>159</v>
      </c>
      <c r="W61" s="432" t="e">
        <f>IF($W$42=3,AA22/W$32*1000,IF($W$42=1,W69/W$32*1000,W73/W$32*1000))</f>
        <v>#DIV/0!</v>
      </c>
      <c r="X61" s="356" t="s">
        <v>919</v>
      </c>
      <c r="Y61" s="329"/>
      <c r="Z61" s="330"/>
      <c r="AA61" s="432" t="e">
        <f>IF($W$42=3,AI22/AA$32*1000,IF($W$42=1,AA69/AA$32*1000,AA73/AA$32*1000))</f>
        <v>#DIV/0!</v>
      </c>
      <c r="AB61" s="356" t="s">
        <v>920</v>
      </c>
      <c r="AC61" s="329"/>
      <c r="AD61" s="357"/>
      <c r="AE61" s="432" t="e">
        <f>IF($W$42=3,AP22/AP$32*1000,IF($W$42=1,AE69/AP$32*1000,AE73/AP$32*1000))</f>
        <v>#DIV/0!</v>
      </c>
      <c r="AF61" s="351" t="s">
        <v>921</v>
      </c>
      <c r="AG61" s="22"/>
      <c r="AH61" s="13"/>
      <c r="AI61" s="271"/>
    </row>
    <row r="62" spans="2:35" ht="15.6" customHeight="1" x14ac:dyDescent="0.15">
      <c r="B62" s="616"/>
      <c r="C62" s="617"/>
      <c r="D62" s="617"/>
      <c r="E62" s="617"/>
      <c r="F62" s="617"/>
      <c r="G62" s="617"/>
      <c r="H62" s="617"/>
      <c r="I62" s="617"/>
      <c r="J62" s="617"/>
      <c r="K62" s="617"/>
      <c r="L62" s="617"/>
      <c r="M62" s="617"/>
      <c r="N62" s="617"/>
      <c r="O62" s="617"/>
      <c r="P62" s="617"/>
      <c r="Q62" s="617"/>
      <c r="R62" s="618"/>
      <c r="T62" s="10"/>
      <c r="U62" s="13" t="s">
        <v>810</v>
      </c>
      <c r="V62" s="22" t="s">
        <v>159</v>
      </c>
      <c r="W62" s="406" t="e">
        <f>IF($W$42=3,AA23/W$32*1000,IF($W$42=1,W70/W$32*1000,W74/W$32*1000))</f>
        <v>#DIV/0!</v>
      </c>
      <c r="X62" s="358" t="s">
        <v>922</v>
      </c>
      <c r="Y62" s="337"/>
      <c r="Z62" s="338"/>
      <c r="AA62" s="406" t="e">
        <f>IF($W$42=3,AI23/AA$32*1000,IF($W$42=1,AA70/AA$32*1000,AA74/AA$32*1000))</f>
        <v>#DIV/0!</v>
      </c>
      <c r="AB62" s="358" t="s">
        <v>923</v>
      </c>
      <c r="AC62" s="337"/>
      <c r="AD62" s="54"/>
      <c r="AE62" s="406" t="e">
        <f>IF($W$42=3,AP23/AP$32*1000,IF($W$42=1,AE70/AP$32*1000,AE74/AP$32*1000))</f>
        <v>#DIV/0!</v>
      </c>
      <c r="AF62" s="351" t="s">
        <v>924</v>
      </c>
      <c r="AG62" s="22"/>
      <c r="AH62" s="13"/>
      <c r="AI62" s="271"/>
    </row>
    <row r="63" spans="2:35" ht="15.6" customHeight="1" x14ac:dyDescent="0.15">
      <c r="B63" s="616"/>
      <c r="C63" s="617"/>
      <c r="D63" s="617"/>
      <c r="E63" s="617"/>
      <c r="F63" s="617"/>
      <c r="G63" s="617"/>
      <c r="H63" s="617"/>
      <c r="I63" s="617"/>
      <c r="J63" s="617"/>
      <c r="K63" s="617"/>
      <c r="L63" s="617"/>
      <c r="M63" s="617"/>
      <c r="N63" s="617"/>
      <c r="O63" s="617"/>
      <c r="P63" s="617"/>
      <c r="Q63" s="617"/>
      <c r="R63" s="618"/>
      <c r="T63" s="10"/>
      <c r="U63" s="13" t="s">
        <v>811</v>
      </c>
      <c r="V63" s="22" t="s">
        <v>159</v>
      </c>
      <c r="W63" s="407" t="e">
        <f>IF($W$42=3,AA24/W$32*1000,IF($W$42=1,W71/W$32*1000,W75/W$32*1000))</f>
        <v>#DIV/0!</v>
      </c>
      <c r="X63" s="359" t="s">
        <v>925</v>
      </c>
      <c r="Y63" s="310"/>
      <c r="Z63" s="311"/>
      <c r="AA63" s="407" t="e">
        <f>IF($W$42=3,AI24/AA$32*1000,IF($W$42=1,AA71/AA$32*1000,AA75/AA$32*1000))</f>
        <v>#DIV/0!</v>
      </c>
      <c r="AB63" s="359" t="s">
        <v>926</v>
      </c>
      <c r="AC63" s="310"/>
      <c r="AD63" s="309"/>
      <c r="AE63" s="407" t="e">
        <f>IF($W$42=3,AP24/AP$32*1000,IF($W$42=1,AE71/AP$32*1000,AE75/AP$32*1000))</f>
        <v>#DIV/0!</v>
      </c>
      <c r="AF63" s="351" t="s">
        <v>927</v>
      </c>
      <c r="AG63" s="22"/>
      <c r="AH63" s="13"/>
      <c r="AI63" s="271"/>
    </row>
    <row r="64" spans="2:35" ht="15.6" customHeight="1" x14ac:dyDescent="0.15">
      <c r="B64" s="616"/>
      <c r="C64" s="617"/>
      <c r="D64" s="617"/>
      <c r="E64" s="617"/>
      <c r="F64" s="617"/>
      <c r="G64" s="617"/>
      <c r="H64" s="617"/>
      <c r="I64" s="617"/>
      <c r="J64" s="617"/>
      <c r="K64" s="617"/>
      <c r="L64" s="617"/>
      <c r="M64" s="617"/>
      <c r="N64" s="617"/>
      <c r="O64" s="617"/>
      <c r="P64" s="617"/>
      <c r="Q64" s="617"/>
      <c r="R64" s="618"/>
      <c r="T64" s="10"/>
      <c r="U64" s="262" t="s">
        <v>809</v>
      </c>
      <c r="V64" s="13"/>
      <c r="W64" s="2"/>
      <c r="X64" s="22"/>
      <c r="Y64" s="57"/>
      <c r="Z64" s="61"/>
      <c r="AA64" s="312"/>
      <c r="AB64" s="22"/>
      <c r="AC64" s="57"/>
      <c r="AD64" s="13"/>
      <c r="AE64" s="312"/>
      <c r="AF64" s="22"/>
      <c r="AG64" s="13"/>
      <c r="AH64" s="13"/>
      <c r="AI64" s="271"/>
    </row>
    <row r="65" spans="2:38" ht="15.6" customHeight="1" x14ac:dyDescent="0.15">
      <c r="B65" s="616"/>
      <c r="C65" s="617"/>
      <c r="D65" s="617"/>
      <c r="E65" s="617"/>
      <c r="F65" s="617"/>
      <c r="G65" s="617"/>
      <c r="H65" s="617"/>
      <c r="I65" s="617"/>
      <c r="J65" s="617"/>
      <c r="K65" s="617"/>
      <c r="L65" s="617"/>
      <c r="M65" s="617"/>
      <c r="N65" s="617"/>
      <c r="O65" s="617"/>
      <c r="P65" s="617"/>
      <c r="Q65" s="617"/>
      <c r="R65" s="618"/>
      <c r="T65" s="10"/>
      <c r="U65" s="13" t="s">
        <v>812</v>
      </c>
      <c r="V65" s="22" t="s">
        <v>821</v>
      </c>
      <c r="W65" s="93" t="e">
        <f>IF(W42=2,W73/(W28*(1-E18)-W29*charFracC/fuelFracC),IF(W56&gt;0,((AA18-$N21)*44/12)/(W$56/fuelFracC)*1000,0))</f>
        <v>#DIV/0!</v>
      </c>
      <c r="X65" s="351" t="s">
        <v>902</v>
      </c>
      <c r="Y65" s="57"/>
      <c r="Z65" s="61"/>
      <c r="AA65" s="85" t="e">
        <f>IF(W42=2,AA73/(AA28*(1-E18)-AA29*charFracC/fuelFracC),IF(AA56&gt;0,((AI18-$N21)*44/12)/(AA$56/fuelFracC)*1000,0))</f>
        <v>#DIV/0!</v>
      </c>
      <c r="AB65" s="351" t="s">
        <v>903</v>
      </c>
      <c r="AC65" s="57"/>
      <c r="AD65" s="13"/>
      <c r="AE65" s="85" t="e">
        <f>IF(W42=2,AE73/(AP28*(1-E18)-AP29*charFracC/fuelFracC),IF(AE56&gt;0,((AP18-$N21)*44/12)/(AE$56/fuelFracC)*1000,0))</f>
        <v>#DIV/0!</v>
      </c>
      <c r="AF65" s="351" t="s">
        <v>904</v>
      </c>
      <c r="AG65" s="13"/>
      <c r="AH65" s="13"/>
      <c r="AI65" s="271"/>
    </row>
    <row r="66" spans="2:38" ht="15.6" customHeight="1" x14ac:dyDescent="0.15">
      <c r="B66" s="616"/>
      <c r="C66" s="617"/>
      <c r="D66" s="617"/>
      <c r="E66" s="617"/>
      <c r="F66" s="617"/>
      <c r="G66" s="617"/>
      <c r="H66" s="617"/>
      <c r="I66" s="617"/>
      <c r="J66" s="617"/>
      <c r="K66" s="617"/>
      <c r="L66" s="617"/>
      <c r="M66" s="617"/>
      <c r="N66" s="617"/>
      <c r="O66" s="617"/>
      <c r="P66" s="617"/>
      <c r="Q66" s="617"/>
      <c r="R66" s="618"/>
      <c r="T66" s="10"/>
      <c r="U66" s="13" t="s">
        <v>810</v>
      </c>
      <c r="V66" s="22" t="s">
        <v>821</v>
      </c>
      <c r="W66" s="406" t="e">
        <f>IF(W42=2,W74/(W28*(1-E18)-W29*charFracC/fuelFracC),IF(W56&gt;0,((AA19-$N22)*28/12)/(W$56/fuelFracC)*1000,0))</f>
        <v>#DIV/0!</v>
      </c>
      <c r="X66" s="351" t="s">
        <v>899</v>
      </c>
      <c r="Y66" s="325"/>
      <c r="Z66" s="326"/>
      <c r="AA66" s="406" t="e">
        <f>IF(W42=2,AA74/(AA28*(1-E18)-AA29*charFracC/fuelFracC),IF(AA56&gt;0,((AI19-$N22)*28/12)/(AA$56/fuelFracC)*1000,0))</f>
        <v>#DIV/0!</v>
      </c>
      <c r="AB66" s="351" t="s">
        <v>900</v>
      </c>
      <c r="AC66" s="325"/>
      <c r="AD66" s="324"/>
      <c r="AE66" s="406" t="e">
        <f>IF(W42=2,AE74/(AP28*(1-E18)-AP29*charFracC/fuelFracC),IF(AE56&gt;0,((AP19-$N22)*28/12)/(AE$56/fuelFracC)*1000,0))</f>
        <v>#DIV/0!</v>
      </c>
      <c r="AF66" s="351" t="s">
        <v>901</v>
      </c>
      <c r="AG66" s="13"/>
      <c r="AH66" s="13"/>
      <c r="AI66" s="271"/>
      <c r="AL66" s="394"/>
    </row>
    <row r="67" spans="2:38" ht="15.6" customHeight="1" x14ac:dyDescent="0.15">
      <c r="B67" s="616"/>
      <c r="C67" s="617"/>
      <c r="D67" s="617"/>
      <c r="E67" s="617"/>
      <c r="F67" s="617"/>
      <c r="G67" s="617"/>
      <c r="H67" s="617"/>
      <c r="I67" s="617"/>
      <c r="J67" s="617"/>
      <c r="K67" s="617"/>
      <c r="L67" s="617"/>
      <c r="M67" s="617"/>
      <c r="N67" s="617"/>
      <c r="O67" s="617"/>
      <c r="P67" s="617"/>
      <c r="Q67" s="617"/>
      <c r="R67" s="618"/>
      <c r="T67" s="10"/>
      <c r="U67" s="13" t="s">
        <v>811</v>
      </c>
      <c r="V67" s="22" t="s">
        <v>821</v>
      </c>
      <c r="W67" s="408" t="e">
        <f>IF(W42=2,W75/(W28*(1-E18)-W29*charFracC/fuelFracC),IF(W57&gt;0,(AA20-$N23)/(W$57/fuelFracC)*1000/1000000,0))</f>
        <v>#DIV/0!</v>
      </c>
      <c r="X67" s="351" t="s">
        <v>905</v>
      </c>
      <c r="Y67" s="310"/>
      <c r="Z67" s="311"/>
      <c r="AA67" s="407" t="e">
        <f>IF(W42=2,AA75/(AA28*(1-E18)-AA29*charFracC/fuelFracC),IF(AA57&gt;0,(AI20-$N23)/(AA$57/fuelFracC)*1000/1000000,0))</f>
        <v>#DIV/0!</v>
      </c>
      <c r="AB67" s="351" t="s">
        <v>906</v>
      </c>
      <c r="AC67" s="310"/>
      <c r="AD67" s="309"/>
      <c r="AE67" s="407" t="e">
        <f>IF(W42=2,AE75/(AP28*(1-E18)-AP29*charFracC/fuelFracC),IF(AE57&gt;0,(AP20-$N23)/(AE$57/fuelFracC)*1000/1000000,0))</f>
        <v>#DIV/0!</v>
      </c>
      <c r="AF67" s="351" t="s">
        <v>907</v>
      </c>
      <c r="AG67" s="13"/>
      <c r="AH67" s="13"/>
      <c r="AI67" s="271"/>
    </row>
    <row r="68" spans="2:38" ht="15.6" customHeight="1" x14ac:dyDescent="0.15">
      <c r="B68" s="616"/>
      <c r="C68" s="617"/>
      <c r="D68" s="617"/>
      <c r="E68" s="617"/>
      <c r="F68" s="617"/>
      <c r="G68" s="617"/>
      <c r="H68" s="617"/>
      <c r="I68" s="617"/>
      <c r="J68" s="617"/>
      <c r="K68" s="617"/>
      <c r="L68" s="617"/>
      <c r="M68" s="617"/>
      <c r="N68" s="617"/>
      <c r="O68" s="617"/>
      <c r="P68" s="617"/>
      <c r="Q68" s="617"/>
      <c r="R68" s="618"/>
      <c r="T68" s="10"/>
      <c r="U68" s="262" t="s">
        <v>947</v>
      </c>
      <c r="V68" s="13"/>
      <c r="W68" s="2"/>
      <c r="X68" s="22"/>
      <c r="Y68" s="57"/>
      <c r="Z68" s="61"/>
      <c r="AA68" s="312"/>
      <c r="AB68" s="22"/>
      <c r="AC68" s="57"/>
      <c r="AD68" s="13"/>
      <c r="AE68" s="312"/>
      <c r="AF68" s="22"/>
      <c r="AG68" s="13"/>
      <c r="AH68" s="13"/>
      <c r="AI68" s="271"/>
    </row>
    <row r="69" spans="2:38" ht="15.6" customHeight="1" x14ac:dyDescent="0.15">
      <c r="B69" s="616"/>
      <c r="C69" s="617"/>
      <c r="D69" s="617"/>
      <c r="E69" s="617"/>
      <c r="F69" s="617"/>
      <c r="G69" s="617"/>
      <c r="H69" s="617"/>
      <c r="I69" s="617"/>
      <c r="J69" s="617"/>
      <c r="K69" s="617"/>
      <c r="L69" s="617"/>
      <c r="M69" s="617"/>
      <c r="N69" s="617"/>
      <c r="O69" s="617"/>
      <c r="P69" s="617"/>
      <c r="Q69" s="617"/>
      <c r="R69" s="618"/>
      <c r="T69" s="10"/>
      <c r="U69" s="13" t="s">
        <v>812</v>
      </c>
      <c r="V69" s="22" t="s">
        <v>20</v>
      </c>
      <c r="W69" s="93" t="e">
        <f>W65*(W28*(1-$E$18)-W29*charFracC/fuelFracC)/1000</f>
        <v>#DIV/0!</v>
      </c>
      <c r="X69" s="360" t="s">
        <v>914</v>
      </c>
      <c r="Y69" s="361"/>
      <c r="Z69" s="362"/>
      <c r="AA69" s="85" t="e">
        <f>AA65*(AA28*(1-$E$18)-AA29*charFracC/fuelFracC)/1000</f>
        <v>#DIV/0!</v>
      </c>
      <c r="AB69" s="360" t="s">
        <v>915</v>
      </c>
      <c r="AC69" s="361"/>
      <c r="AD69" s="363"/>
      <c r="AE69" s="85" t="e">
        <f>AE65*(AP28*(1-$E$18)-AP29*charFracC/fuelFracC)/1000</f>
        <v>#DIV/0!</v>
      </c>
      <c r="AF69" s="351" t="s">
        <v>916</v>
      </c>
      <c r="AG69" s="13"/>
      <c r="AH69" s="13"/>
      <c r="AI69" s="271"/>
    </row>
    <row r="70" spans="2:38" ht="15.6" customHeight="1" x14ac:dyDescent="0.15">
      <c r="B70" s="613"/>
      <c r="C70" s="614"/>
      <c r="D70" s="614"/>
      <c r="E70" s="614"/>
      <c r="F70" s="614"/>
      <c r="G70" s="614"/>
      <c r="H70" s="614"/>
      <c r="I70" s="614"/>
      <c r="J70" s="614"/>
      <c r="K70" s="614"/>
      <c r="L70" s="614"/>
      <c r="M70" s="614"/>
      <c r="N70" s="614"/>
      <c r="O70" s="614"/>
      <c r="P70" s="614"/>
      <c r="Q70" s="614"/>
      <c r="R70" s="615"/>
      <c r="T70" s="10"/>
      <c r="U70" s="13" t="s">
        <v>810</v>
      </c>
      <c r="V70" s="22" t="s">
        <v>20</v>
      </c>
      <c r="W70" s="401" t="e">
        <f>W66*(W28*(1-$E$18)-W29*charFracC/fuelFracC)/1000</f>
        <v>#DIV/0!</v>
      </c>
      <c r="X70" s="358" t="s">
        <v>911</v>
      </c>
      <c r="Y70" s="337"/>
      <c r="Z70" s="338"/>
      <c r="AA70" s="406" t="e">
        <f>AA66*(AA28*(1-$E$18)-AA29*charFracC/fuelFracC)/1000</f>
        <v>#DIV/0!</v>
      </c>
      <c r="AB70" s="358" t="s">
        <v>912</v>
      </c>
      <c r="AC70" s="337"/>
      <c r="AD70" s="54"/>
      <c r="AE70" s="406" t="e">
        <f>AE66*(AP28*(1-$E$18)-AP29*charFracC/fuelFracC)/1000</f>
        <v>#DIV/0!</v>
      </c>
      <c r="AF70" s="351" t="s">
        <v>913</v>
      </c>
      <c r="AG70" s="13"/>
      <c r="AH70" s="13"/>
      <c r="AI70" s="271"/>
    </row>
    <row r="71" spans="2:38" ht="15.6" customHeight="1" x14ac:dyDescent="0.15">
      <c r="T71" s="10"/>
      <c r="U71" s="13" t="s">
        <v>811</v>
      </c>
      <c r="V71" s="22" t="s">
        <v>20</v>
      </c>
      <c r="W71" s="408" t="e">
        <f>W67*(W28*(1-$E$18)-W29*charFracC/fuelFracC)/1000</f>
        <v>#DIV/0!</v>
      </c>
      <c r="X71" s="359" t="s">
        <v>908</v>
      </c>
      <c r="Y71" s="310"/>
      <c r="Z71" s="311"/>
      <c r="AA71" s="407" t="e">
        <f>AA67*(AA28*(1-$E$18)-AA29*charFracC/fuelFracC)/1000</f>
        <v>#DIV/0!</v>
      </c>
      <c r="AB71" s="359" t="s">
        <v>909</v>
      </c>
      <c r="AC71" s="310"/>
      <c r="AD71" s="309"/>
      <c r="AE71" s="407" t="e">
        <f>AE67*(AP28*(1-$E$18)-AP29*charFracC/fuelFracC)/1000</f>
        <v>#DIV/0!</v>
      </c>
      <c r="AF71" s="351" t="s">
        <v>910</v>
      </c>
      <c r="AG71" s="13"/>
      <c r="AH71" s="13"/>
      <c r="AI71" s="271"/>
    </row>
    <row r="72" spans="2:38" ht="15.6" customHeight="1" x14ac:dyDescent="0.15">
      <c r="T72" s="10"/>
      <c r="U72" s="262" t="s">
        <v>948</v>
      </c>
      <c r="V72" s="13"/>
      <c r="W72" s="312"/>
      <c r="X72" s="22"/>
      <c r="Y72" s="57"/>
      <c r="Z72" s="61"/>
      <c r="AA72" s="2"/>
      <c r="AB72" s="22"/>
      <c r="AC72" s="57"/>
      <c r="AD72" s="13"/>
      <c r="AE72" s="312"/>
      <c r="AF72" s="22"/>
      <c r="AG72" s="13"/>
      <c r="AH72" s="21"/>
    </row>
    <row r="73" spans="2:38" ht="15.6" customHeight="1" x14ac:dyDescent="0.15">
      <c r="T73" s="10"/>
      <c r="U73" s="13" t="s">
        <v>812</v>
      </c>
      <c r="V73" s="22" t="s">
        <v>20</v>
      </c>
      <c r="W73" s="85">
        <f>W55*(AA18-N21)*(44*'General Information'!C22)/(0.008314*(AA21+273.15))/1000000</f>
        <v>0</v>
      </c>
      <c r="X73" s="360" t="s">
        <v>914</v>
      </c>
      <c r="Y73" s="361"/>
      <c r="Z73" s="362"/>
      <c r="AA73" s="93">
        <f>AA55*(AI18-N21)*(44*'General Information'!C22)/(0.008314*(AI21+273.15))/1000000</f>
        <v>0</v>
      </c>
      <c r="AB73" s="360" t="s">
        <v>915</v>
      </c>
      <c r="AC73" s="361"/>
      <c r="AD73" s="363"/>
      <c r="AE73" s="85">
        <f>AE55*(AP18-N21)*(44*'General Information'!C22)/(0.008314*(AP21+273.15))/1000000</f>
        <v>0</v>
      </c>
      <c r="AF73" s="351" t="s">
        <v>916</v>
      </c>
      <c r="AG73" s="13"/>
      <c r="AH73" s="21"/>
    </row>
    <row r="74" spans="2:38" ht="15.6" customHeight="1" x14ac:dyDescent="0.15">
      <c r="T74" s="10"/>
      <c r="U74" s="13" t="s">
        <v>810</v>
      </c>
      <c r="V74" s="22" t="s">
        <v>20</v>
      </c>
      <c r="W74" s="406">
        <f>W55*(AA19-N22)*(28*'General Information'!C22)/(0.008314*(AA21+273.15))/1000000</f>
        <v>0</v>
      </c>
      <c r="X74" s="358" t="s">
        <v>911</v>
      </c>
      <c r="Y74" s="337"/>
      <c r="Z74" s="338"/>
      <c r="AA74" s="401">
        <f>AA55*(AI19-N22)*(28*'General Information'!C22)/(0.008314*(AI21+273.15))/1000000</f>
        <v>0</v>
      </c>
      <c r="AB74" s="358" t="s">
        <v>912</v>
      </c>
      <c r="AC74" s="337"/>
      <c r="AD74" s="54"/>
      <c r="AE74" s="406">
        <f>AE55*(AP19-N22)*(28*'General Information'!C22)/(0.008314*(AP21+273.15))/1000000</f>
        <v>0</v>
      </c>
      <c r="AF74" s="351" t="s">
        <v>913</v>
      </c>
      <c r="AG74" s="13"/>
      <c r="AH74" s="21"/>
    </row>
    <row r="75" spans="2:38" ht="15.6" customHeight="1" thickBot="1" x14ac:dyDescent="0.2">
      <c r="T75" s="10"/>
      <c r="U75" s="13" t="s">
        <v>811</v>
      </c>
      <c r="V75" s="22" t="s">
        <v>20</v>
      </c>
      <c r="W75" s="407">
        <f>W55*(AA20-N23)/1000000</f>
        <v>0</v>
      </c>
      <c r="X75" s="359" t="s">
        <v>908</v>
      </c>
      <c r="Y75" s="310"/>
      <c r="Z75" s="311"/>
      <c r="AA75" s="408">
        <f>AA55*(AI20-N23)/1000000</f>
        <v>0</v>
      </c>
      <c r="AB75" s="359" t="s">
        <v>909</v>
      </c>
      <c r="AC75" s="310"/>
      <c r="AD75" s="309"/>
      <c r="AE75" s="407">
        <f>AE55*(AP20-N23)/1000000</f>
        <v>0</v>
      </c>
      <c r="AF75" s="351" t="s">
        <v>910</v>
      </c>
      <c r="AG75" s="13"/>
      <c r="AH75" s="21"/>
    </row>
    <row r="76" spans="2:38" ht="15.6" customHeight="1" thickTop="1" x14ac:dyDescent="0.15">
      <c r="T76" s="258"/>
      <c r="U76" s="259" t="s">
        <v>818</v>
      </c>
      <c r="V76" s="259"/>
      <c r="W76" s="313"/>
      <c r="X76" s="352"/>
      <c r="Y76" s="259"/>
      <c r="Z76" s="259"/>
      <c r="AA76" s="259"/>
      <c r="AB76" s="259"/>
      <c r="AC76" s="259"/>
      <c r="AD76" s="259"/>
      <c r="AE76" s="259"/>
      <c r="AF76" s="259"/>
      <c r="AG76" s="259"/>
      <c r="AH76" s="297"/>
    </row>
    <row r="77" spans="2:38" ht="15" customHeight="1" x14ac:dyDescent="0.15">
      <c r="T77" s="10"/>
      <c r="U77" s="13" t="s">
        <v>819</v>
      </c>
      <c r="V77" s="13" t="s">
        <v>20</v>
      </c>
      <c r="W77" s="406" t="e">
        <f>(IF(ISERROR(AA$38),W62,AVERAGE(W62,AA62))+AE62)*5</f>
        <v>#DIV/0!</v>
      </c>
      <c r="X77" s="22" t="s">
        <v>917</v>
      </c>
      <c r="Y77" s="13"/>
      <c r="Z77" s="13"/>
      <c r="AA77" s="13"/>
      <c r="AB77" s="13"/>
      <c r="AC77" s="13"/>
      <c r="AD77" s="13"/>
      <c r="AE77" s="13"/>
      <c r="AF77" s="13"/>
      <c r="AG77" s="13"/>
      <c r="AH77" s="21"/>
    </row>
    <row r="78" spans="2:38" ht="15" customHeight="1" thickBot="1" x14ac:dyDescent="0.2">
      <c r="T78" s="113"/>
      <c r="U78" s="114" t="s">
        <v>820</v>
      </c>
      <c r="V78" s="114" t="s">
        <v>20</v>
      </c>
      <c r="W78" s="409" t="e">
        <f>(IF(ISERROR(AA$38),W63,AVERAGE(W63,AA63))+AE63)*5</f>
        <v>#DIV/0!</v>
      </c>
      <c r="X78" s="115" t="s">
        <v>918</v>
      </c>
      <c r="Y78" s="114"/>
      <c r="Z78" s="114"/>
      <c r="AA78" s="114"/>
      <c r="AB78" s="114"/>
      <c r="AC78" s="114"/>
      <c r="AD78" s="114"/>
      <c r="AE78" s="114"/>
      <c r="AF78" s="114"/>
      <c r="AG78" s="114"/>
      <c r="AH78" s="298"/>
    </row>
    <row r="79" spans="2:38" ht="15" customHeight="1" thickTop="1" x14ac:dyDescent="0.15"/>
  </sheetData>
  <mergeCells count="82">
    <mergeCell ref="A2:S2"/>
    <mergeCell ref="W2:AB2"/>
    <mergeCell ref="AE2:AJ2"/>
    <mergeCell ref="AL2:AQ2"/>
    <mergeCell ref="W3:X3"/>
    <mergeCell ref="AA3:AB3"/>
    <mergeCell ref="AE3:AF3"/>
    <mergeCell ref="AI3:AJ3"/>
    <mergeCell ref="AL3:AM3"/>
    <mergeCell ref="D10:K10"/>
    <mergeCell ref="AP3:AQ3"/>
    <mergeCell ref="AA4:AB4"/>
    <mergeCell ref="AI4:AJ4"/>
    <mergeCell ref="AL4:AM4"/>
    <mergeCell ref="AP4:AQ4"/>
    <mergeCell ref="D6:K6"/>
    <mergeCell ref="M6:P6"/>
    <mergeCell ref="D7:K7"/>
    <mergeCell ref="M7:P7"/>
    <mergeCell ref="D8:K8"/>
    <mergeCell ref="M8:P8"/>
    <mergeCell ref="D9:K9"/>
    <mergeCell ref="D11:K11"/>
    <mergeCell ref="B14:D14"/>
    <mergeCell ref="B15:D15"/>
    <mergeCell ref="K15:M15"/>
    <mergeCell ref="B16:D16"/>
    <mergeCell ref="K16:M16"/>
    <mergeCell ref="B23:D23"/>
    <mergeCell ref="W16:X16"/>
    <mergeCell ref="AE16:AF16"/>
    <mergeCell ref="AL16:AM16"/>
    <mergeCell ref="E17:G17"/>
    <mergeCell ref="K17:M17"/>
    <mergeCell ref="B18:D18"/>
    <mergeCell ref="K18:M18"/>
    <mergeCell ref="B19:D19"/>
    <mergeCell ref="K19:M19"/>
    <mergeCell ref="B20:D20"/>
    <mergeCell ref="K20:M20"/>
    <mergeCell ref="B21:D21"/>
    <mergeCell ref="B42:R42"/>
    <mergeCell ref="B33:R33"/>
    <mergeCell ref="B41:R41"/>
    <mergeCell ref="E25:R25"/>
    <mergeCell ref="B26:R26"/>
    <mergeCell ref="B27:R27"/>
    <mergeCell ref="B29:R29"/>
    <mergeCell ref="B30:R30"/>
    <mergeCell ref="B31:R31"/>
    <mergeCell ref="B28:R28"/>
    <mergeCell ref="B32:R32"/>
    <mergeCell ref="B34:R34"/>
    <mergeCell ref="B35:R35"/>
    <mergeCell ref="B39:R39"/>
    <mergeCell ref="B40:R40"/>
    <mergeCell ref="B58:R58"/>
    <mergeCell ref="B52:R52"/>
    <mergeCell ref="B57:R57"/>
    <mergeCell ref="B43:R43"/>
    <mergeCell ref="B44:R44"/>
    <mergeCell ref="B45:R45"/>
    <mergeCell ref="B47:R47"/>
    <mergeCell ref="B48:R48"/>
    <mergeCell ref="B50:R50"/>
    <mergeCell ref="B46:R46"/>
    <mergeCell ref="B51:R51"/>
    <mergeCell ref="B53:R53"/>
    <mergeCell ref="B54:R54"/>
    <mergeCell ref="B55:R55"/>
    <mergeCell ref="B56:R56"/>
    <mergeCell ref="B67:R67"/>
    <mergeCell ref="B69:R69"/>
    <mergeCell ref="B70:R70"/>
    <mergeCell ref="B59:R59"/>
    <mergeCell ref="B61:R61"/>
    <mergeCell ref="B62:R62"/>
    <mergeCell ref="B64:R64"/>
    <mergeCell ref="B65:R65"/>
    <mergeCell ref="B66:R66"/>
    <mergeCell ref="B63:R63"/>
    <mergeCell ref="B68:R68"/>
  </mergeCells>
  <conditionalFormatting sqref="W28:W40 AA28:AA40 AP28:AP41 AE44:AF51 W55:W75 AA55:AA75 AE55:AE75 W77:W78">
    <cfRule type="containsErrors" dxfId="5" priority="1" stopIfTrue="1">
      <formula>ISERROR(W28)</formula>
    </cfRule>
  </conditionalFormatting>
  <pageMargins left="0.74791666666666667" right="0.74791666666666667" top="0.75" bottom="0.75" header="0.51180555555555551" footer="0.5"/>
  <pageSetup scale="90" firstPageNumber="0" orientation="landscape" horizontalDpi="300" verticalDpi="300" r:id="rId1"/>
  <headerFooter alignWithMargins="0">
    <oddFooter>&amp;L&amp;F&amp;C&amp;A&amp;RPage &amp;P</oddFooter>
  </headerFooter>
  <rowBreaks count="1" manualBreakCount="1">
    <brk id="37" max="16383" man="1"/>
  </rowBreaks>
  <colBreaks count="2" manualBreakCount="2">
    <brk id="19" max="1048575" man="1"/>
    <brk id="52" max="1048575" man="1"/>
  </colBreaks>
  <ignoredErrors>
    <ignoredError sqref="E22:E23 E19 N20 D9:K11"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1505" r:id="rId4" name="ComboBox">
              <controlPr defaultSize="0" autoFill="0" autoLine="0" autoPict="0">
                <anchor moveWithCells="1" sizeWithCells="1">
                  <from>
                    <xdr:col>3</xdr:col>
                    <xdr:colOff>838200</xdr:colOff>
                    <xdr:row>15</xdr:row>
                    <xdr:rowOff>28575</xdr:rowOff>
                  </from>
                  <to>
                    <xdr:col>7</xdr:col>
                    <xdr:colOff>123825</xdr:colOff>
                    <xdr:row>16</xdr:row>
                    <xdr:rowOff>28575</xdr:rowOff>
                  </to>
                </anchor>
              </controlPr>
            </control>
          </mc:Choice>
        </mc:AlternateContent>
        <mc:AlternateContent xmlns:mc="http://schemas.openxmlformats.org/markup-compatibility/2006">
          <mc:Choice Requires="x14">
            <control shapeId="21506" r:id="rId5" name="Drop Down 2">
              <controlPr defaultSize="0" autoLine="0" autoPict="0">
                <anchor moveWithCells="1">
                  <from>
                    <xdr:col>21</xdr:col>
                    <xdr:colOff>0</xdr:colOff>
                    <xdr:row>41</xdr:row>
                    <xdr:rowOff>9525</xdr:rowOff>
                  </from>
                  <to>
                    <xdr:col>22</xdr:col>
                    <xdr:colOff>619125</xdr:colOff>
                    <xdr:row>42</xdr:row>
                    <xdr:rowOff>9525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dimension ref="A1:DU79"/>
  <sheetViews>
    <sheetView showGridLines="0" showZeros="0" zoomScaleNormal="100" zoomScaleSheetLayoutView="100" workbookViewId="0">
      <selection activeCell="D6" sqref="D6:K6"/>
    </sheetView>
  </sheetViews>
  <sheetFormatPr defaultColWidth="15.640625" defaultRowHeight="27.95" customHeight="1" x14ac:dyDescent="0.15"/>
  <cols>
    <col min="1" max="1" width="1.75" style="1" customWidth="1"/>
    <col min="2" max="2" width="14.5625" style="1" customWidth="1"/>
    <col min="3" max="3" width="6.60546875" style="2" customWidth="1"/>
    <col min="4" max="4" width="12.67578125" style="1" customWidth="1"/>
    <col min="5" max="5" width="8.08984375" style="1" customWidth="1"/>
    <col min="6" max="6" width="2.01953125" style="1" customWidth="1"/>
    <col min="7" max="7" width="5.93359375" style="1" customWidth="1"/>
    <col min="8" max="8" width="2.01953125" style="2" customWidth="1"/>
    <col min="9" max="9" width="7.28125" style="2" customWidth="1"/>
    <col min="10" max="10" width="1.75" style="2" customWidth="1"/>
    <col min="11" max="11" width="14.42578125" style="2" customWidth="1"/>
    <col min="12" max="12" width="5.66015625" style="2" customWidth="1"/>
    <col min="13" max="13" width="14.5625" style="2" customWidth="1"/>
    <col min="14" max="14" width="7.68359375" style="2" customWidth="1"/>
    <col min="15" max="15" width="2.01953125" style="2" customWidth="1"/>
    <col min="16" max="16" width="6.60546875" style="2" customWidth="1"/>
    <col min="17" max="17" width="2.01953125" style="2" customWidth="1"/>
    <col min="18" max="18" width="7.28125" style="2" customWidth="1"/>
    <col min="19" max="19" width="1.75" style="1" customWidth="1"/>
    <col min="20" max="20" width="1.75" style="3" customWidth="1"/>
    <col min="21" max="21" width="25.484375" style="3" customWidth="1"/>
    <col min="22" max="22" width="13.88671875" style="3" bestFit="1" customWidth="1"/>
    <col min="23" max="23" width="12" style="3" customWidth="1"/>
    <col min="24" max="24" width="5.390625" style="3" customWidth="1"/>
    <col min="25" max="25" width="0.5390625" style="3" customWidth="1"/>
    <col min="26" max="26" width="0.80859375" style="3" customWidth="1"/>
    <col min="27" max="27" width="8.76171875" style="3" customWidth="1"/>
    <col min="28" max="28" width="6.7421875" style="3" customWidth="1"/>
    <col min="29" max="30" width="0.80859375" style="3" customWidth="1"/>
    <col min="31" max="31" width="8.08984375" style="3" customWidth="1"/>
    <col min="32" max="32" width="5.796875" style="3" customWidth="1"/>
    <col min="33" max="33" width="0.80859375" style="3" customWidth="1"/>
    <col min="34" max="34" width="0.671875" style="3" customWidth="1"/>
    <col min="35" max="35" width="8.08984375" style="3" customWidth="1"/>
    <col min="36" max="36" width="5.12109375" style="3" customWidth="1"/>
    <col min="37" max="37" width="0.80859375" style="3" customWidth="1"/>
    <col min="38" max="38" width="8.62890625" style="3" customWidth="1"/>
    <col min="39" max="39" width="7.28125" style="3" customWidth="1"/>
    <col min="40" max="41" width="0.94140625" style="3" customWidth="1"/>
    <col min="42" max="42" width="8.08984375" style="3" customWidth="1"/>
    <col min="43" max="43" width="6.203125" style="3" customWidth="1"/>
    <col min="44" max="44" width="1.75" style="3" customWidth="1"/>
    <col min="45" max="45" width="8.359375" customWidth="1"/>
    <col min="46" max="46" width="5.796875" customWidth="1"/>
    <col min="47" max="47" width="6.47265625" customWidth="1"/>
    <col min="48" max="48" width="5.390625" customWidth="1"/>
    <col min="49" max="49" width="6.7421875" customWidth="1"/>
    <col min="50" max="50" width="7.4140625" customWidth="1"/>
    <col min="51" max="51" width="20.90234375" customWidth="1"/>
    <col min="52" max="53" width="1.75" customWidth="1"/>
    <col min="54" max="54" width="33.7109375" customWidth="1"/>
    <col min="55" max="55" width="5.796875" customWidth="1"/>
    <col min="56" max="56" width="6.47265625" customWidth="1"/>
    <col min="57" max="57" width="5.390625" customWidth="1"/>
    <col min="58" max="58" width="6.7421875" customWidth="1"/>
    <col min="59" max="59" width="7.4140625" customWidth="1"/>
    <col min="60" max="60" width="20.90234375" customWidth="1"/>
    <col min="61" max="61" width="0" hidden="1" customWidth="1"/>
    <col min="62" max="70" width="9.03515625" customWidth="1"/>
    <col min="71" max="122" width="8.8984375" customWidth="1"/>
    <col min="123" max="16384" width="15.640625" style="1"/>
  </cols>
  <sheetData>
    <row r="1" spans="1:125" ht="6" customHeight="1" thickTop="1" thickBot="1" x14ac:dyDescent="0.2">
      <c r="A1" s="4"/>
      <c r="B1" s="5"/>
      <c r="C1" s="5"/>
      <c r="D1" s="5"/>
      <c r="E1" s="5"/>
      <c r="F1" s="5"/>
      <c r="G1" s="5"/>
      <c r="H1" s="5"/>
      <c r="I1" s="5"/>
      <c r="J1" s="5"/>
      <c r="K1" s="5"/>
      <c r="L1" s="5"/>
      <c r="M1" s="5"/>
      <c r="N1" s="5"/>
      <c r="O1" s="5"/>
      <c r="P1" s="5"/>
      <c r="Q1" s="5"/>
      <c r="R1" s="5"/>
      <c r="S1" s="6"/>
      <c r="T1" s="7"/>
      <c r="U1" s="8"/>
      <c r="V1" s="8"/>
      <c r="W1" s="8"/>
      <c r="X1" s="8"/>
      <c r="Y1" s="8"/>
      <c r="Z1" s="8"/>
      <c r="AA1" s="8"/>
      <c r="AB1" s="8"/>
      <c r="AC1" s="8"/>
      <c r="AD1" s="8"/>
      <c r="AE1" s="8"/>
      <c r="AF1" s="8"/>
      <c r="AG1" s="8"/>
      <c r="AH1" s="8"/>
      <c r="AI1" s="8"/>
      <c r="AJ1" s="8"/>
      <c r="AK1" s="8"/>
      <c r="AL1" s="8"/>
      <c r="AM1" s="8"/>
      <c r="AN1" s="8"/>
      <c r="AO1" s="8"/>
      <c r="AP1" s="8"/>
      <c r="AQ1" s="8"/>
      <c r="AR1" s="9"/>
      <c r="AS1" s="25"/>
      <c r="AT1" s="2"/>
      <c r="DS1"/>
      <c r="DT1"/>
      <c r="DU1"/>
    </row>
    <row r="2" spans="1:125" ht="13.5" customHeight="1" thickBot="1" x14ac:dyDescent="0.2">
      <c r="A2" s="637" t="str">
        <f>"WATER BOILING TEST - VERSION "&amp;version&amp;" - TEST #10"</f>
        <v>WATER BOILING TEST - VERSION 4.2.3 - TEST #10</v>
      </c>
      <c r="B2" s="637"/>
      <c r="C2" s="637"/>
      <c r="D2" s="637"/>
      <c r="E2" s="637"/>
      <c r="F2" s="637"/>
      <c r="G2" s="637"/>
      <c r="H2" s="637"/>
      <c r="I2" s="637"/>
      <c r="J2" s="637"/>
      <c r="K2" s="637"/>
      <c r="L2" s="637"/>
      <c r="M2" s="637"/>
      <c r="N2" s="637"/>
      <c r="O2" s="637"/>
      <c r="P2" s="637"/>
      <c r="Q2" s="637"/>
      <c r="R2" s="637"/>
      <c r="S2" s="637"/>
      <c r="T2" s="10"/>
      <c r="U2" s="255" t="str">
        <f>"TEST #10 "&amp;D7</f>
        <v xml:space="preserve">TEST #10 </v>
      </c>
      <c r="V2" s="11"/>
      <c r="W2" s="638" t="s">
        <v>0</v>
      </c>
      <c r="X2" s="638"/>
      <c r="Y2" s="638"/>
      <c r="Z2" s="638"/>
      <c r="AA2" s="638"/>
      <c r="AB2" s="638"/>
      <c r="AC2" s="256"/>
      <c r="AD2" s="12"/>
      <c r="AE2" s="638" t="s">
        <v>1</v>
      </c>
      <c r="AF2" s="638"/>
      <c r="AG2" s="638"/>
      <c r="AH2" s="638"/>
      <c r="AI2" s="638"/>
      <c r="AJ2" s="638"/>
      <c r="AK2" s="13"/>
      <c r="AL2" s="638" t="s">
        <v>2</v>
      </c>
      <c r="AM2" s="638"/>
      <c r="AN2" s="638"/>
      <c r="AO2" s="638"/>
      <c r="AP2" s="638"/>
      <c r="AQ2" s="638"/>
      <c r="AR2" s="14"/>
    </row>
    <row r="3" spans="1:125" ht="12.75" customHeight="1" x14ac:dyDescent="0.15">
      <c r="A3" s="16"/>
      <c r="B3" s="17" t="s">
        <v>748</v>
      </c>
      <c r="C3" s="17"/>
      <c r="D3" s="17"/>
      <c r="E3" s="17"/>
      <c r="F3" s="17"/>
      <c r="G3" s="17"/>
      <c r="H3" s="17"/>
      <c r="I3" s="17"/>
      <c r="J3" s="17"/>
      <c r="K3" s="17"/>
      <c r="L3" s="17"/>
      <c r="M3" s="17"/>
      <c r="N3" s="17"/>
      <c r="O3" s="17"/>
      <c r="P3" s="17"/>
      <c r="Q3" s="17"/>
      <c r="R3" s="17"/>
      <c r="S3" s="18"/>
      <c r="T3" s="19"/>
      <c r="U3" s="20"/>
      <c r="V3" s="21"/>
      <c r="W3" s="641" t="s">
        <v>3</v>
      </c>
      <c r="X3" s="641"/>
      <c r="Y3" s="23"/>
      <c r="Z3" s="13"/>
      <c r="AA3" s="642" t="s">
        <v>4</v>
      </c>
      <c r="AB3" s="642"/>
      <c r="AC3" s="24"/>
      <c r="AD3" s="12"/>
      <c r="AE3" s="643" t="s">
        <v>3</v>
      </c>
      <c r="AF3" s="643"/>
      <c r="AG3" s="23"/>
      <c r="AH3" s="13"/>
      <c r="AI3" s="642" t="s">
        <v>4</v>
      </c>
      <c r="AJ3" s="642"/>
      <c r="AK3" s="12"/>
      <c r="AL3" s="639" t="s">
        <v>3</v>
      </c>
      <c r="AM3" s="639"/>
      <c r="AN3" s="23"/>
      <c r="AO3" s="13"/>
      <c r="AP3" s="640" t="s">
        <v>5</v>
      </c>
      <c r="AQ3" s="640"/>
      <c r="AR3" s="14"/>
    </row>
    <row r="4" spans="1:125" ht="12.75" customHeight="1" x14ac:dyDescent="0.15">
      <c r="A4" s="25"/>
      <c r="B4" s="26" t="s">
        <v>749</v>
      </c>
      <c r="C4" s="26"/>
      <c r="D4" s="26"/>
      <c r="E4" s="26"/>
      <c r="F4" s="26"/>
      <c r="G4" s="26"/>
      <c r="H4" s="26"/>
      <c r="I4" s="26"/>
      <c r="J4" s="27"/>
      <c r="K4" s="27"/>
      <c r="L4" s="27"/>
      <c r="M4" s="27"/>
      <c r="N4" s="27"/>
      <c r="O4" s="27"/>
      <c r="P4" s="27"/>
      <c r="Q4" s="27"/>
      <c r="R4" s="27"/>
      <c r="S4" s="15"/>
      <c r="T4" s="28"/>
      <c r="U4" s="29"/>
      <c r="V4" s="30"/>
      <c r="W4" s="31"/>
      <c r="X4" s="31"/>
      <c r="Y4" s="32"/>
      <c r="Z4" s="33"/>
      <c r="AA4" s="631" t="s">
        <v>6</v>
      </c>
      <c r="AB4" s="631"/>
      <c r="AC4" s="24"/>
      <c r="AD4" s="12"/>
      <c r="AE4" s="31"/>
      <c r="AF4" s="31"/>
      <c r="AG4" s="32"/>
      <c r="AH4" s="33"/>
      <c r="AI4" s="631" t="s">
        <v>6</v>
      </c>
      <c r="AJ4" s="631"/>
      <c r="AK4" s="12"/>
      <c r="AL4" s="633"/>
      <c r="AM4" s="633"/>
      <c r="AN4" s="34"/>
      <c r="AO4" s="31"/>
      <c r="AP4" s="644"/>
      <c r="AQ4" s="644"/>
      <c r="AR4" s="14"/>
    </row>
    <row r="5" spans="1:125" ht="13.5" customHeight="1" thickBot="1" x14ac:dyDescent="0.2">
      <c r="A5" s="25"/>
      <c r="B5" s="35" t="s">
        <v>7</v>
      </c>
      <c r="D5" s="2"/>
      <c r="E5" s="2"/>
      <c r="F5" s="2"/>
      <c r="G5" s="2"/>
      <c r="S5" s="15"/>
      <c r="T5" s="28"/>
      <c r="U5" s="36" t="s">
        <v>8</v>
      </c>
      <c r="V5" s="37" t="s">
        <v>9</v>
      </c>
      <c r="W5" s="38" t="s">
        <v>10</v>
      </c>
      <c r="X5" s="38" t="s">
        <v>11</v>
      </c>
      <c r="Y5" s="39"/>
      <c r="Z5" s="38"/>
      <c r="AA5" s="38" t="s">
        <v>10</v>
      </c>
      <c r="AB5" s="37" t="s">
        <v>11</v>
      </c>
      <c r="AC5" s="24"/>
      <c r="AD5" s="12"/>
      <c r="AE5" s="38" t="s">
        <v>10</v>
      </c>
      <c r="AF5" s="38" t="s">
        <v>11</v>
      </c>
      <c r="AG5" s="40"/>
      <c r="AH5" s="41"/>
      <c r="AI5" s="38" t="s">
        <v>10</v>
      </c>
      <c r="AJ5" s="37" t="s">
        <v>11</v>
      </c>
      <c r="AK5" s="12"/>
      <c r="AL5" s="38" t="s">
        <v>10</v>
      </c>
      <c r="AM5" s="38" t="s">
        <v>11</v>
      </c>
      <c r="AN5" s="40"/>
      <c r="AO5" s="41"/>
      <c r="AP5" s="38" t="s">
        <v>10</v>
      </c>
      <c r="AQ5" s="37" t="s">
        <v>11</v>
      </c>
      <c r="AR5" s="14"/>
    </row>
    <row r="6" spans="1:125" ht="15.75" customHeight="1" x14ac:dyDescent="0.2">
      <c r="A6" s="25"/>
      <c r="B6" s="2" t="s">
        <v>12</v>
      </c>
      <c r="D6" s="629"/>
      <c r="E6" s="629"/>
      <c r="F6" s="629"/>
      <c r="G6" s="629"/>
      <c r="H6" s="629"/>
      <c r="I6" s="629"/>
      <c r="J6" s="629"/>
      <c r="K6" s="629"/>
      <c r="M6" s="635" t="s">
        <v>834</v>
      </c>
      <c r="N6" s="635"/>
      <c r="O6" s="635"/>
      <c r="P6" s="635"/>
      <c r="Q6" s="265"/>
      <c r="R6" s="265"/>
      <c r="S6" s="15"/>
      <c r="T6" s="28"/>
      <c r="U6" s="30" t="s">
        <v>716</v>
      </c>
      <c r="V6" s="24" t="s">
        <v>13</v>
      </c>
      <c r="W6" s="42"/>
      <c r="X6" s="43" t="s">
        <v>14</v>
      </c>
      <c r="Y6" s="44"/>
      <c r="Z6" s="43"/>
      <c r="AA6" s="42"/>
      <c r="AB6" s="45" t="s">
        <v>15</v>
      </c>
      <c r="AC6" s="45"/>
      <c r="AD6" s="12"/>
      <c r="AE6" s="42"/>
      <c r="AF6" s="43" t="s">
        <v>16</v>
      </c>
      <c r="AG6" s="46"/>
      <c r="AH6" s="13"/>
      <c r="AI6" s="42"/>
      <c r="AJ6" s="45" t="s">
        <v>17</v>
      </c>
      <c r="AK6" s="12"/>
      <c r="AL6" s="42"/>
      <c r="AM6" s="43" t="s">
        <v>18</v>
      </c>
      <c r="AN6" s="46"/>
      <c r="AO6" s="13"/>
      <c r="AP6" s="42"/>
      <c r="AQ6" s="45" t="s">
        <v>19</v>
      </c>
      <c r="AR6" s="14"/>
    </row>
    <row r="7" spans="1:125" ht="15.75" customHeight="1" x14ac:dyDescent="0.2">
      <c r="A7" s="25"/>
      <c r="B7" s="2" t="s">
        <v>27</v>
      </c>
      <c r="D7" s="629"/>
      <c r="E7" s="629"/>
      <c r="F7" s="629"/>
      <c r="G7" s="629"/>
      <c r="H7" s="629"/>
      <c r="I7" s="629"/>
      <c r="J7" s="629"/>
      <c r="K7" s="629"/>
      <c r="M7" s="663" t="s">
        <v>969</v>
      </c>
      <c r="N7" s="663"/>
      <c r="O7" s="663"/>
      <c r="P7" s="663"/>
      <c r="Q7" s="265"/>
      <c r="R7" s="265"/>
      <c r="S7" s="15"/>
      <c r="T7" s="28"/>
      <c r="U7" s="30" t="s">
        <v>873</v>
      </c>
      <c r="V7" s="24" t="s">
        <v>20</v>
      </c>
      <c r="W7" s="47"/>
      <c r="X7" s="43" t="s">
        <v>21</v>
      </c>
      <c r="Y7" s="44"/>
      <c r="Z7" s="43"/>
      <c r="AA7" s="47"/>
      <c r="AB7" s="45" t="s">
        <v>22</v>
      </c>
      <c r="AC7" s="45"/>
      <c r="AD7" s="12"/>
      <c r="AE7" s="47"/>
      <c r="AF7" s="43" t="s">
        <v>23</v>
      </c>
      <c r="AG7" s="46"/>
      <c r="AH7" s="13"/>
      <c r="AI7" s="47"/>
      <c r="AJ7" s="45" t="s">
        <v>24</v>
      </c>
      <c r="AK7" s="12"/>
      <c r="AL7" s="47"/>
      <c r="AM7" s="43" t="s">
        <v>25</v>
      </c>
      <c r="AN7" s="46"/>
      <c r="AO7" s="13"/>
      <c r="AP7" s="47"/>
      <c r="AQ7" s="45" t="s">
        <v>26</v>
      </c>
      <c r="AR7" s="14"/>
    </row>
    <row r="8" spans="1:125" ht="15.75" customHeight="1" x14ac:dyDescent="0.2">
      <c r="A8" s="25"/>
      <c r="B8" s="2" t="s">
        <v>36</v>
      </c>
      <c r="D8" s="628"/>
      <c r="E8" s="629"/>
      <c r="F8" s="629"/>
      <c r="G8" s="629"/>
      <c r="H8" s="629"/>
      <c r="I8" s="629"/>
      <c r="J8" s="629"/>
      <c r="K8" s="629"/>
      <c r="M8" s="656" t="s">
        <v>953</v>
      </c>
      <c r="N8" s="656"/>
      <c r="O8" s="656"/>
      <c r="P8" s="656"/>
      <c r="Q8" s="265"/>
      <c r="R8" s="265"/>
      <c r="S8" s="15"/>
      <c r="T8" s="28"/>
      <c r="U8" s="30" t="s">
        <v>28</v>
      </c>
      <c r="V8" s="24" t="s">
        <v>29</v>
      </c>
      <c r="W8" s="48"/>
      <c r="X8" s="49" t="s">
        <v>30</v>
      </c>
      <c r="Y8" s="50"/>
      <c r="Z8" s="49"/>
      <c r="AA8" s="48"/>
      <c r="AB8" s="51" t="s">
        <v>31</v>
      </c>
      <c r="AC8" s="51"/>
      <c r="AD8" s="52"/>
      <c r="AE8" s="48"/>
      <c r="AF8" s="49" t="s">
        <v>32</v>
      </c>
      <c r="AG8" s="53"/>
      <c r="AH8" s="54"/>
      <c r="AI8" s="48"/>
      <c r="AJ8" s="45" t="s">
        <v>33</v>
      </c>
      <c r="AK8" s="12"/>
      <c r="AL8" s="48"/>
      <c r="AM8" s="43" t="s">
        <v>34</v>
      </c>
      <c r="AN8" s="46"/>
      <c r="AO8" s="13"/>
      <c r="AP8" s="48"/>
      <c r="AQ8" s="45" t="s">
        <v>35</v>
      </c>
      <c r="AR8" s="14"/>
    </row>
    <row r="9" spans="1:125" ht="15.75" customHeight="1" x14ac:dyDescent="0.2">
      <c r="A9" s="25"/>
      <c r="B9" s="2" t="s">
        <v>50</v>
      </c>
      <c r="D9" s="630">
        <f>'General Information'!C7</f>
        <v>0</v>
      </c>
      <c r="E9" s="630"/>
      <c r="F9" s="630"/>
      <c r="G9" s="630"/>
      <c r="H9" s="630"/>
      <c r="I9" s="630"/>
      <c r="J9" s="630"/>
      <c r="K9" s="630"/>
      <c r="M9" s="265"/>
      <c r="N9" s="265"/>
      <c r="O9" s="265"/>
      <c r="P9" s="265"/>
      <c r="Q9" s="265"/>
      <c r="R9" s="265"/>
      <c r="S9" s="15"/>
      <c r="T9" s="28"/>
      <c r="U9" s="55" t="s">
        <v>37</v>
      </c>
      <c r="V9" s="24" t="s">
        <v>29</v>
      </c>
      <c r="W9" s="48"/>
      <c r="X9" s="49" t="s">
        <v>185</v>
      </c>
      <c r="Y9" s="50"/>
      <c r="Z9" s="49"/>
      <c r="AA9" s="48"/>
      <c r="AB9" s="51" t="s">
        <v>38</v>
      </c>
      <c r="AC9" s="51"/>
      <c r="AD9" s="52"/>
      <c r="AE9" s="48"/>
      <c r="AF9" s="49" t="s">
        <v>39</v>
      </c>
      <c r="AG9" s="53"/>
      <c r="AH9" s="54"/>
      <c r="AI9" s="48"/>
      <c r="AJ9" s="45" t="s">
        <v>40</v>
      </c>
      <c r="AK9" s="12"/>
      <c r="AL9" s="48"/>
      <c r="AM9" s="56" t="s">
        <v>41</v>
      </c>
      <c r="AN9" s="57"/>
      <c r="AO9" s="58"/>
      <c r="AP9" s="48"/>
      <c r="AQ9" s="59" t="s">
        <v>42</v>
      </c>
      <c r="AR9" s="14"/>
    </row>
    <row r="10" spans="1:125" ht="15.75" customHeight="1" x14ac:dyDescent="0.2">
      <c r="A10" s="25"/>
      <c r="B10" s="2" t="s">
        <v>43</v>
      </c>
      <c r="D10" s="632">
        <f>'General Information'!C10</f>
        <v>0</v>
      </c>
      <c r="E10" s="632"/>
      <c r="F10" s="632"/>
      <c r="G10" s="632"/>
      <c r="H10" s="632"/>
      <c r="I10" s="632"/>
      <c r="J10" s="632"/>
      <c r="K10" s="632"/>
      <c r="S10" s="15"/>
      <c r="T10" s="28"/>
      <c r="U10" s="55" t="s">
        <v>44</v>
      </c>
      <c r="V10" s="24" t="s">
        <v>29</v>
      </c>
      <c r="W10" s="48"/>
      <c r="X10" s="49" t="s">
        <v>186</v>
      </c>
      <c r="Y10" s="50"/>
      <c r="Z10" s="49"/>
      <c r="AA10" s="48"/>
      <c r="AB10" s="51" t="s">
        <v>45</v>
      </c>
      <c r="AC10" s="51"/>
      <c r="AD10" s="52"/>
      <c r="AE10" s="48"/>
      <c r="AF10" s="49" t="s">
        <v>46</v>
      </c>
      <c r="AG10" s="53"/>
      <c r="AH10" s="54"/>
      <c r="AI10" s="48"/>
      <c r="AJ10" s="45" t="s">
        <v>47</v>
      </c>
      <c r="AK10" s="12"/>
      <c r="AL10" s="48"/>
      <c r="AM10" s="56" t="s">
        <v>48</v>
      </c>
      <c r="AN10" s="57"/>
      <c r="AO10" s="58"/>
      <c r="AP10" s="48"/>
      <c r="AQ10" s="59" t="s">
        <v>49</v>
      </c>
      <c r="AR10" s="14"/>
    </row>
    <row r="11" spans="1:125" ht="15.75" customHeight="1" x14ac:dyDescent="0.2">
      <c r="A11" s="25"/>
      <c r="B11" s="2" t="s">
        <v>58</v>
      </c>
      <c r="D11" s="645">
        <f>'General Information'!J3</f>
        <v>0</v>
      </c>
      <c r="E11" s="645"/>
      <c r="F11" s="645"/>
      <c r="G11" s="645"/>
      <c r="H11" s="645"/>
      <c r="I11" s="645"/>
      <c r="J11" s="645"/>
      <c r="K11" s="645"/>
      <c r="S11" s="15"/>
      <c r="T11" s="28"/>
      <c r="U11" s="55" t="s">
        <v>51</v>
      </c>
      <c r="V11" s="24" t="s">
        <v>29</v>
      </c>
      <c r="W11" s="48"/>
      <c r="X11" s="49" t="s">
        <v>52</v>
      </c>
      <c r="Y11" s="50"/>
      <c r="Z11" s="49"/>
      <c r="AA11" s="48"/>
      <c r="AB11" s="51" t="s">
        <v>53</v>
      </c>
      <c r="AC11" s="51"/>
      <c r="AD11" s="52"/>
      <c r="AE11" s="48"/>
      <c r="AF11" s="49" t="s">
        <v>54</v>
      </c>
      <c r="AG11" s="53"/>
      <c r="AH11" s="54"/>
      <c r="AI11" s="48"/>
      <c r="AJ11" s="45" t="s">
        <v>55</v>
      </c>
      <c r="AK11" s="12"/>
      <c r="AL11" s="48"/>
      <c r="AM11" s="56" t="s">
        <v>56</v>
      </c>
      <c r="AN11" s="57"/>
      <c r="AO11" s="58"/>
      <c r="AP11" s="48"/>
      <c r="AQ11" s="59" t="s">
        <v>57</v>
      </c>
      <c r="AR11" s="14"/>
    </row>
    <row r="12" spans="1:125" ht="15.75" customHeight="1" x14ac:dyDescent="0.2">
      <c r="A12" s="25"/>
      <c r="B12" s="2"/>
      <c r="D12" s="60"/>
      <c r="E12" s="60"/>
      <c r="F12" s="60"/>
      <c r="G12" s="60"/>
      <c r="H12" s="60"/>
      <c r="I12" s="60"/>
      <c r="J12" s="60"/>
      <c r="S12" s="15"/>
      <c r="T12" s="28"/>
      <c r="U12" s="30" t="s">
        <v>59</v>
      </c>
      <c r="V12" s="24" t="s">
        <v>20</v>
      </c>
      <c r="W12" s="47"/>
      <c r="X12" s="43" t="s">
        <v>60</v>
      </c>
      <c r="Y12" s="44"/>
      <c r="Z12" s="43"/>
      <c r="AA12" s="47"/>
      <c r="AB12" s="45" t="s">
        <v>61</v>
      </c>
      <c r="AC12" s="45"/>
      <c r="AD12" s="12"/>
      <c r="AE12" s="47"/>
      <c r="AF12" s="43" t="s">
        <v>62</v>
      </c>
      <c r="AG12" s="46"/>
      <c r="AH12" s="13"/>
      <c r="AI12" s="47"/>
      <c r="AJ12" s="45" t="s">
        <v>63</v>
      </c>
      <c r="AK12" s="12"/>
      <c r="AL12" s="47"/>
      <c r="AM12" s="56" t="s">
        <v>64</v>
      </c>
      <c r="AN12" s="57"/>
      <c r="AO12" s="61"/>
      <c r="AP12" s="47"/>
      <c r="AQ12" s="59" t="s">
        <v>65</v>
      </c>
      <c r="AR12" s="14"/>
    </row>
    <row r="13" spans="1:125" ht="15.75" customHeight="1" thickBot="1" x14ac:dyDescent="0.25">
      <c r="A13" s="25"/>
      <c r="B13" s="62" t="s">
        <v>80</v>
      </c>
      <c r="C13" s="63"/>
      <c r="D13" s="64"/>
      <c r="E13" s="65"/>
      <c r="F13" s="64"/>
      <c r="G13" s="64"/>
      <c r="H13" s="64"/>
      <c r="I13" s="64"/>
      <c r="J13" s="64"/>
      <c r="K13" s="66"/>
      <c r="L13" s="66"/>
      <c r="M13" s="66"/>
      <c r="N13" s="66"/>
      <c r="O13" s="66"/>
      <c r="P13" s="66"/>
      <c r="Q13" s="66"/>
      <c r="R13" s="66"/>
      <c r="S13" s="15"/>
      <c r="T13" s="28"/>
      <c r="U13" s="55" t="s">
        <v>66</v>
      </c>
      <c r="V13" s="24" t="s">
        <v>20</v>
      </c>
      <c r="W13" s="47"/>
      <c r="X13" s="43" t="s">
        <v>67</v>
      </c>
      <c r="Y13" s="44"/>
      <c r="Z13" s="43"/>
      <c r="AA13" s="47"/>
      <c r="AB13" s="45" t="s">
        <v>68</v>
      </c>
      <c r="AC13" s="45"/>
      <c r="AD13" s="12"/>
      <c r="AE13" s="47"/>
      <c r="AF13" s="43" t="s">
        <v>69</v>
      </c>
      <c r="AG13" s="46"/>
      <c r="AH13" s="13"/>
      <c r="AI13" s="47"/>
      <c r="AJ13" s="45" t="s">
        <v>70</v>
      </c>
      <c r="AK13" s="12"/>
      <c r="AL13" s="47"/>
      <c r="AM13" s="56" t="s">
        <v>71</v>
      </c>
      <c r="AN13" s="57"/>
      <c r="AO13" s="58"/>
      <c r="AP13" s="47"/>
      <c r="AQ13" s="59" t="s">
        <v>72</v>
      </c>
      <c r="AR13" s="14"/>
    </row>
    <row r="14" spans="1:125" ht="15.75" customHeight="1" x14ac:dyDescent="0.2">
      <c r="A14" s="25"/>
      <c r="B14" s="624" t="s">
        <v>88</v>
      </c>
      <c r="C14" s="624"/>
      <c r="D14" s="624"/>
      <c r="E14" s="67" t="s">
        <v>89</v>
      </c>
      <c r="F14" s="67"/>
      <c r="G14" s="67" t="s">
        <v>90</v>
      </c>
      <c r="H14" s="68"/>
      <c r="I14" s="69" t="s">
        <v>11</v>
      </c>
      <c r="J14" s="68"/>
      <c r="K14" s="68" t="s">
        <v>88</v>
      </c>
      <c r="L14" s="68"/>
      <c r="M14" s="68"/>
      <c r="N14" s="67" t="s">
        <v>89</v>
      </c>
      <c r="O14" s="67"/>
      <c r="P14" s="68" t="s">
        <v>90</v>
      </c>
      <c r="Q14" s="68"/>
      <c r="R14" s="69" t="s">
        <v>11</v>
      </c>
      <c r="S14" s="15"/>
      <c r="T14" s="28"/>
      <c r="U14" s="55" t="s">
        <v>73</v>
      </c>
      <c r="V14" s="24" t="s">
        <v>20</v>
      </c>
      <c r="W14" s="47"/>
      <c r="X14" s="43" t="s">
        <v>74</v>
      </c>
      <c r="Y14" s="44"/>
      <c r="Z14" s="43"/>
      <c r="AA14" s="47"/>
      <c r="AB14" s="45" t="s">
        <v>75</v>
      </c>
      <c r="AC14" s="45"/>
      <c r="AD14" s="12"/>
      <c r="AE14" s="47"/>
      <c r="AF14" s="43" t="s">
        <v>76</v>
      </c>
      <c r="AG14" s="46"/>
      <c r="AH14" s="13"/>
      <c r="AI14" s="47"/>
      <c r="AJ14" s="45" t="s">
        <v>77</v>
      </c>
      <c r="AK14" s="12"/>
      <c r="AL14" s="47"/>
      <c r="AM14" s="56" t="s">
        <v>78</v>
      </c>
      <c r="AN14" s="57"/>
      <c r="AO14" s="58"/>
      <c r="AP14" s="47"/>
      <c r="AQ14" s="59" t="s">
        <v>79</v>
      </c>
      <c r="AR14" s="14"/>
    </row>
    <row r="15" spans="1:125" ht="15.75" customHeight="1" x14ac:dyDescent="0.2">
      <c r="A15" s="25"/>
      <c r="B15" s="623" t="s">
        <v>702</v>
      </c>
      <c r="C15" s="623"/>
      <c r="D15" s="623"/>
      <c r="E15" s="73"/>
      <c r="F15" s="74"/>
      <c r="G15" s="2" t="s">
        <v>29</v>
      </c>
      <c r="J15" s="75"/>
      <c r="K15" s="623" t="s">
        <v>93</v>
      </c>
      <c r="L15" s="623"/>
      <c r="M15" s="623"/>
      <c r="N15" s="196"/>
      <c r="O15" s="74"/>
      <c r="P15" s="22" t="s">
        <v>20</v>
      </c>
      <c r="R15" s="43" t="s">
        <v>94</v>
      </c>
      <c r="S15" s="15"/>
      <c r="T15" s="28"/>
      <c r="U15" s="55" t="s">
        <v>81</v>
      </c>
      <c r="V15" s="24" t="s">
        <v>20</v>
      </c>
      <c r="W15" s="47"/>
      <c r="X15" s="43" t="s">
        <v>82</v>
      </c>
      <c r="Y15" s="44"/>
      <c r="Z15" s="43"/>
      <c r="AA15" s="47"/>
      <c r="AB15" s="45" t="s">
        <v>83</v>
      </c>
      <c r="AC15" s="45"/>
      <c r="AD15" s="12"/>
      <c r="AE15" s="47"/>
      <c r="AF15" s="43" t="s">
        <v>84</v>
      </c>
      <c r="AG15" s="46"/>
      <c r="AH15" s="13"/>
      <c r="AI15" s="47"/>
      <c r="AJ15" s="45" t="s">
        <v>85</v>
      </c>
      <c r="AK15" s="12"/>
      <c r="AL15" s="47"/>
      <c r="AM15" s="56" t="s">
        <v>86</v>
      </c>
      <c r="AN15" s="57"/>
      <c r="AO15" s="58"/>
      <c r="AP15" s="47"/>
      <c r="AQ15" s="59" t="s">
        <v>87</v>
      </c>
      <c r="AR15" s="14"/>
    </row>
    <row r="16" spans="1:125" ht="15.75" customHeight="1" x14ac:dyDescent="0.15">
      <c r="A16" s="25"/>
      <c r="B16" s="623" t="s">
        <v>722</v>
      </c>
      <c r="C16" s="623"/>
      <c r="D16" s="623"/>
      <c r="E16" s="74">
        <v>1</v>
      </c>
      <c r="F16" s="74"/>
      <c r="G16" s="2"/>
      <c r="J16" s="75"/>
      <c r="K16" s="623" t="s">
        <v>99</v>
      </c>
      <c r="L16" s="623"/>
      <c r="M16" s="623"/>
      <c r="N16" s="196"/>
      <c r="O16" s="74"/>
      <c r="P16" s="22" t="s">
        <v>20</v>
      </c>
      <c r="R16" s="43" t="s">
        <v>100</v>
      </c>
      <c r="S16" s="15"/>
      <c r="T16" s="28"/>
      <c r="U16" s="55" t="s">
        <v>91</v>
      </c>
      <c r="V16" s="24" t="s">
        <v>92</v>
      </c>
      <c r="W16" s="626"/>
      <c r="X16" s="626"/>
      <c r="Y16" s="70"/>
      <c r="Z16" s="71"/>
      <c r="AA16" s="72"/>
      <c r="AB16" s="45"/>
      <c r="AC16" s="45"/>
      <c r="AD16" s="12"/>
      <c r="AE16" s="626"/>
      <c r="AF16" s="626"/>
      <c r="AG16" s="46"/>
      <c r="AH16" s="13"/>
      <c r="AI16" s="72"/>
      <c r="AJ16" s="21"/>
      <c r="AK16" s="12"/>
      <c r="AL16" s="626"/>
      <c r="AM16" s="626"/>
      <c r="AN16" s="46"/>
      <c r="AO16" s="13"/>
      <c r="AP16" s="13"/>
      <c r="AQ16" s="21"/>
      <c r="AR16" s="14"/>
    </row>
    <row r="17" spans="1:44" ht="15.75" customHeight="1" x14ac:dyDescent="0.2">
      <c r="A17" s="25"/>
      <c r="B17" s="1" t="s">
        <v>772</v>
      </c>
      <c r="E17" s="625"/>
      <c r="F17" s="625"/>
      <c r="G17" s="625"/>
      <c r="J17" s="75"/>
      <c r="K17" s="623" t="s">
        <v>104</v>
      </c>
      <c r="L17" s="623"/>
      <c r="M17" s="623"/>
      <c r="N17" s="196"/>
      <c r="O17" s="74"/>
      <c r="P17" s="22" t="s">
        <v>20</v>
      </c>
      <c r="R17" s="43" t="s">
        <v>105</v>
      </c>
      <c r="S17" s="15"/>
      <c r="T17" s="28"/>
      <c r="U17" s="30" t="s">
        <v>95</v>
      </c>
      <c r="V17" s="24" t="s">
        <v>20</v>
      </c>
      <c r="W17" s="76"/>
      <c r="X17" s="2"/>
      <c r="Y17" s="77"/>
      <c r="Z17" s="2"/>
      <c r="AA17" s="47"/>
      <c r="AB17" s="45" t="s">
        <v>96</v>
      </c>
      <c r="AC17" s="45"/>
      <c r="AD17" s="12"/>
      <c r="AE17" s="76"/>
      <c r="AF17" s="43"/>
      <c r="AG17" s="46"/>
      <c r="AH17" s="13"/>
      <c r="AI17" s="78">
        <f>AA17</f>
        <v>0</v>
      </c>
      <c r="AJ17" s="45" t="s">
        <v>97</v>
      </c>
      <c r="AK17" s="12"/>
      <c r="AL17" s="2"/>
      <c r="AM17" s="43"/>
      <c r="AN17" s="46"/>
      <c r="AO17" s="13"/>
      <c r="AP17" s="47"/>
      <c r="AQ17" s="45" t="s">
        <v>98</v>
      </c>
      <c r="AR17" s="14"/>
    </row>
    <row r="18" spans="1:44" ht="15" customHeight="1" x14ac:dyDescent="0.2">
      <c r="A18" s="25"/>
      <c r="B18" s="623" t="s">
        <v>815</v>
      </c>
      <c r="C18" s="623"/>
      <c r="D18" s="623"/>
      <c r="E18" s="241"/>
      <c r="F18" s="87"/>
      <c r="G18" s="2" t="s">
        <v>113</v>
      </c>
      <c r="I18" s="22" t="s">
        <v>929</v>
      </c>
      <c r="J18" s="75"/>
      <c r="K18" s="623" t="s">
        <v>108</v>
      </c>
      <c r="L18" s="623"/>
      <c r="M18" s="623"/>
      <c r="N18" s="196"/>
      <c r="O18" s="74"/>
      <c r="P18" s="22" t="s">
        <v>20</v>
      </c>
      <c r="R18" s="43" t="s">
        <v>109</v>
      </c>
      <c r="S18" s="15"/>
      <c r="T18" s="28"/>
      <c r="U18" s="30" t="s">
        <v>791</v>
      </c>
      <c r="V18" s="24" t="s">
        <v>781</v>
      </c>
      <c r="W18" s="76"/>
      <c r="X18" s="2"/>
      <c r="Y18" s="77"/>
      <c r="Z18" s="2"/>
      <c r="AA18" s="398"/>
      <c r="AB18" s="45" t="s">
        <v>793</v>
      </c>
      <c r="AC18" s="45"/>
      <c r="AD18" s="12"/>
      <c r="AE18" s="76"/>
      <c r="AF18" s="43"/>
      <c r="AG18" s="46"/>
      <c r="AH18" s="13"/>
      <c r="AI18" s="398"/>
      <c r="AJ18" s="45" t="s">
        <v>796</v>
      </c>
      <c r="AK18" s="12"/>
      <c r="AL18" s="2"/>
      <c r="AM18" s="43"/>
      <c r="AN18" s="46"/>
      <c r="AO18" s="13"/>
      <c r="AP18" s="398"/>
      <c r="AQ18" s="45" t="s">
        <v>799</v>
      </c>
      <c r="AR18" s="14"/>
    </row>
    <row r="19" spans="1:44" ht="15" customHeight="1" x14ac:dyDescent="0.2">
      <c r="A19" s="25"/>
      <c r="B19" s="623" t="s">
        <v>101</v>
      </c>
      <c r="C19" s="623"/>
      <c r="D19" s="623"/>
      <c r="E19" s="83">
        <f>'General Information'!L21</f>
        <v>0</v>
      </c>
      <c r="F19" s="84"/>
      <c r="G19" s="2" t="s">
        <v>102</v>
      </c>
      <c r="I19" s="22" t="s">
        <v>103</v>
      </c>
      <c r="J19" s="75"/>
      <c r="K19" s="623" t="s">
        <v>114</v>
      </c>
      <c r="L19" s="623"/>
      <c r="M19" s="623"/>
      <c r="N19" s="196"/>
      <c r="O19" s="74"/>
      <c r="P19" s="22" t="s">
        <v>20</v>
      </c>
      <c r="R19" s="43" t="s">
        <v>115</v>
      </c>
      <c r="S19" s="15"/>
      <c r="T19" s="10"/>
      <c r="U19" s="251" t="s">
        <v>792</v>
      </c>
      <c r="V19" s="24" t="s">
        <v>781</v>
      </c>
      <c r="W19" s="76"/>
      <c r="X19" s="2"/>
      <c r="Y19" s="77"/>
      <c r="Z19" s="2">
        <v>10</v>
      </c>
      <c r="AA19" s="398"/>
      <c r="AB19" s="45" t="s">
        <v>794</v>
      </c>
      <c r="AC19" s="45"/>
      <c r="AD19" s="12"/>
      <c r="AE19" s="76"/>
      <c r="AF19" s="43"/>
      <c r="AG19" s="46"/>
      <c r="AH19" s="13"/>
      <c r="AI19" s="398"/>
      <c r="AJ19" s="45" t="s">
        <v>797</v>
      </c>
      <c r="AK19" s="12"/>
      <c r="AL19" s="2"/>
      <c r="AM19" s="43"/>
      <c r="AN19" s="46"/>
      <c r="AO19" s="13"/>
      <c r="AP19" s="398"/>
      <c r="AQ19" s="45" t="s">
        <v>800</v>
      </c>
      <c r="AR19" s="14"/>
    </row>
    <row r="20" spans="1:44" ht="15" customHeight="1" x14ac:dyDescent="0.2">
      <c r="A20" s="25"/>
      <c r="B20" s="623" t="s">
        <v>106</v>
      </c>
      <c r="C20" s="623"/>
      <c r="D20" s="623"/>
      <c r="E20" s="85">
        <f>'General Information'!L22</f>
        <v>0</v>
      </c>
      <c r="F20" s="84"/>
      <c r="G20" s="2" t="s">
        <v>102</v>
      </c>
      <c r="I20" s="22" t="s">
        <v>107</v>
      </c>
      <c r="J20" s="75"/>
      <c r="K20" s="623" t="s">
        <v>117</v>
      </c>
      <c r="L20" s="623"/>
      <c r="M20" s="623"/>
      <c r="N20" s="195">
        <f>'General Information'!C20</f>
        <v>0</v>
      </c>
      <c r="O20" s="74"/>
      <c r="P20" s="22" t="s">
        <v>29</v>
      </c>
      <c r="R20" s="43" t="s">
        <v>118</v>
      </c>
      <c r="S20" s="15"/>
      <c r="T20" s="10"/>
      <c r="U20" s="251" t="s">
        <v>789</v>
      </c>
      <c r="V20" s="24" t="s">
        <v>790</v>
      </c>
      <c r="W20" s="371"/>
      <c r="X20" s="372"/>
      <c r="Y20" s="374"/>
      <c r="Z20" s="372"/>
      <c r="AA20" s="399"/>
      <c r="AB20" s="45" t="s">
        <v>795</v>
      </c>
      <c r="AC20" s="45"/>
      <c r="AD20" s="82"/>
      <c r="AE20" s="371"/>
      <c r="AF20" s="372"/>
      <c r="AG20" s="383"/>
      <c r="AH20" s="369"/>
      <c r="AI20" s="399"/>
      <c r="AJ20" s="45" t="s">
        <v>798</v>
      </c>
      <c r="AK20" s="82"/>
      <c r="AL20" s="371"/>
      <c r="AM20" s="372"/>
      <c r="AN20" s="383"/>
      <c r="AO20" s="369"/>
      <c r="AP20" s="399"/>
      <c r="AQ20" s="45" t="s">
        <v>801</v>
      </c>
      <c r="AR20" s="14"/>
    </row>
    <row r="21" spans="1:44" ht="15" customHeight="1" x14ac:dyDescent="0.2">
      <c r="A21" s="25"/>
      <c r="B21" s="627" t="s">
        <v>783</v>
      </c>
      <c r="C21" s="627"/>
      <c r="D21" s="627"/>
      <c r="F21" s="87"/>
      <c r="I21" s="1"/>
      <c r="J21" s="75"/>
      <c r="K21" s="96" t="s">
        <v>780</v>
      </c>
      <c r="L21" s="43"/>
      <c r="M21" s="43"/>
      <c r="N21" s="454"/>
      <c r="O21" s="43"/>
      <c r="P21" s="43" t="s">
        <v>781</v>
      </c>
      <c r="Q21" s="43"/>
      <c r="R21" s="43" t="s">
        <v>786</v>
      </c>
      <c r="S21" s="15"/>
      <c r="T21" s="10"/>
      <c r="U21" s="436" t="s">
        <v>943</v>
      </c>
      <c r="V21" s="437" t="s">
        <v>29</v>
      </c>
      <c r="W21" s="373"/>
      <c r="X21" s="372"/>
      <c r="Y21" s="372"/>
      <c r="Z21" s="438"/>
      <c r="AA21" s="458"/>
      <c r="AB21" s="439" t="s">
        <v>944</v>
      </c>
      <c r="AC21" s="45"/>
      <c r="AD21" s="82"/>
      <c r="AE21" s="440"/>
      <c r="AF21" s="372"/>
      <c r="AG21" s="372"/>
      <c r="AH21" s="441"/>
      <c r="AI21" s="458"/>
      <c r="AJ21" s="439" t="s">
        <v>945</v>
      </c>
      <c r="AK21" s="369"/>
      <c r="AL21" s="440"/>
      <c r="AM21" s="372"/>
      <c r="AN21" s="374"/>
      <c r="AO21" s="372"/>
      <c r="AP21" s="458"/>
      <c r="AQ21" s="439" t="s">
        <v>946</v>
      </c>
      <c r="AR21" s="14"/>
    </row>
    <row r="22" spans="1:44" ht="15" customHeight="1" x14ac:dyDescent="0.15">
      <c r="A22" s="25"/>
      <c r="B22" s="250" t="s">
        <v>782</v>
      </c>
      <c r="C22" s="243"/>
      <c r="D22" s="243"/>
      <c r="E22" s="83">
        <f>E20*(1-E18)-(E18*((N20-E15)*4.2+2260))</f>
        <v>0</v>
      </c>
      <c r="F22" s="87"/>
      <c r="G22" s="2" t="s">
        <v>102</v>
      </c>
      <c r="I22" s="22" t="s">
        <v>928</v>
      </c>
      <c r="J22" s="75"/>
      <c r="K22" s="96"/>
      <c r="L22" s="43"/>
      <c r="M22" s="244" t="s">
        <v>784</v>
      </c>
      <c r="N22" s="454"/>
      <c r="O22" s="43"/>
      <c r="P22" s="43" t="s">
        <v>781</v>
      </c>
      <c r="Q22" s="43"/>
      <c r="R22" s="43" t="s">
        <v>787</v>
      </c>
      <c r="S22" s="15"/>
      <c r="T22" s="10"/>
      <c r="U22" s="251" t="s">
        <v>954</v>
      </c>
      <c r="V22" s="24" t="s">
        <v>20</v>
      </c>
      <c r="W22" s="76"/>
      <c r="X22" s="2"/>
      <c r="Y22" s="77"/>
      <c r="Z22" s="2"/>
      <c r="AA22" s="398"/>
      <c r="AB22" s="389" t="s">
        <v>914</v>
      </c>
      <c r="AC22" s="45"/>
      <c r="AD22" s="12"/>
      <c r="AE22" s="76"/>
      <c r="AF22" s="43"/>
      <c r="AG22" s="46"/>
      <c r="AH22" s="13"/>
      <c r="AI22" s="398"/>
      <c r="AJ22" s="451" t="s">
        <v>968</v>
      </c>
      <c r="AK22" s="21"/>
      <c r="AL22" s="2"/>
      <c r="AM22" s="43"/>
      <c r="AN22" s="46"/>
      <c r="AO22" s="13"/>
      <c r="AP22" s="398"/>
      <c r="AQ22" s="391" t="s">
        <v>916</v>
      </c>
      <c r="AR22" s="14"/>
    </row>
    <row r="23" spans="1:44" ht="15" customHeight="1" x14ac:dyDescent="0.15">
      <c r="A23" s="25"/>
      <c r="B23" s="622" t="s">
        <v>736</v>
      </c>
      <c r="C23" s="622"/>
      <c r="D23" s="622"/>
      <c r="E23" s="83">
        <f>'General Information'!L11</f>
        <v>0</v>
      </c>
      <c r="F23" s="2"/>
      <c r="G23" s="2" t="s">
        <v>102</v>
      </c>
      <c r="J23" s="75"/>
      <c r="K23" s="96"/>
      <c r="L23" s="43"/>
      <c r="M23" s="244" t="s">
        <v>785</v>
      </c>
      <c r="N23" s="454"/>
      <c r="O23" s="43"/>
      <c r="P23" s="43" t="s">
        <v>790</v>
      </c>
      <c r="Q23" s="43"/>
      <c r="R23" s="43" t="s">
        <v>788</v>
      </c>
      <c r="S23" s="15"/>
      <c r="T23" s="10"/>
      <c r="U23" s="251" t="s">
        <v>955</v>
      </c>
      <c r="V23" s="24" t="s">
        <v>20</v>
      </c>
      <c r="W23" s="76"/>
      <c r="X23" s="2"/>
      <c r="Y23" s="77"/>
      <c r="Z23" s="2">
        <v>10</v>
      </c>
      <c r="AA23" s="398"/>
      <c r="AB23" s="390" t="s">
        <v>911</v>
      </c>
      <c r="AC23" s="45"/>
      <c r="AD23" s="12"/>
      <c r="AE23" s="76"/>
      <c r="AF23" s="43"/>
      <c r="AG23" s="46"/>
      <c r="AH23" s="13"/>
      <c r="AI23" s="398"/>
      <c r="AJ23" s="358" t="s">
        <v>912</v>
      </c>
      <c r="AK23" s="12"/>
      <c r="AL23" s="2"/>
      <c r="AM23" s="43"/>
      <c r="AN23" s="46"/>
      <c r="AO23" s="13"/>
      <c r="AP23" s="398"/>
      <c r="AQ23" s="391" t="s">
        <v>913</v>
      </c>
      <c r="AR23" s="14"/>
    </row>
    <row r="24" spans="1:44" ht="15.75" customHeight="1" thickBot="1" x14ac:dyDescent="0.2">
      <c r="A24" s="25"/>
      <c r="D24" s="97"/>
      <c r="E24" s="98"/>
      <c r="F24" s="2"/>
      <c r="G24" s="2"/>
      <c r="K24" s="96"/>
      <c r="L24" s="43"/>
      <c r="M24" s="43"/>
      <c r="N24" s="43"/>
      <c r="O24" s="43"/>
      <c r="P24" s="43"/>
      <c r="Q24" s="43"/>
      <c r="R24" s="43"/>
      <c r="S24" s="15"/>
      <c r="T24" s="10"/>
      <c r="U24" s="442" t="s">
        <v>956</v>
      </c>
      <c r="V24" s="37" t="s">
        <v>20</v>
      </c>
      <c r="W24" s="79"/>
      <c r="X24" s="80"/>
      <c r="Y24" s="81"/>
      <c r="Z24" s="80"/>
      <c r="AA24" s="443"/>
      <c r="AB24" s="444" t="s">
        <v>908</v>
      </c>
      <c r="AC24" s="445"/>
      <c r="AD24" s="446"/>
      <c r="AE24" s="79"/>
      <c r="AF24" s="80"/>
      <c r="AG24" s="447"/>
      <c r="AH24" s="448"/>
      <c r="AI24" s="443"/>
      <c r="AJ24" s="449" t="s">
        <v>909</v>
      </c>
      <c r="AK24" s="446"/>
      <c r="AL24" s="79"/>
      <c r="AM24" s="80"/>
      <c r="AN24" s="447"/>
      <c r="AO24" s="448"/>
      <c r="AP24" s="443"/>
      <c r="AQ24" s="450" t="s">
        <v>910</v>
      </c>
      <c r="AR24" s="14"/>
    </row>
    <row r="25" spans="1:44" ht="15.75" customHeight="1" thickBot="1" x14ac:dyDescent="0.2">
      <c r="A25" s="25"/>
      <c r="B25" s="99" t="s">
        <v>737</v>
      </c>
      <c r="C25" s="100"/>
      <c r="D25" s="101"/>
      <c r="E25" s="646"/>
      <c r="F25" s="646"/>
      <c r="G25" s="646"/>
      <c r="H25" s="646"/>
      <c r="I25" s="646"/>
      <c r="J25" s="646"/>
      <c r="K25" s="646"/>
      <c r="L25" s="646"/>
      <c r="M25" s="646"/>
      <c r="N25" s="646"/>
      <c r="O25" s="646"/>
      <c r="P25" s="646"/>
      <c r="Q25" s="646"/>
      <c r="R25" s="647"/>
      <c r="S25" s="15"/>
      <c r="T25" s="10"/>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14"/>
    </row>
    <row r="26" spans="1:44" ht="15.75" customHeight="1" x14ac:dyDescent="0.15">
      <c r="A26" s="25"/>
      <c r="B26" s="616"/>
      <c r="C26" s="617"/>
      <c r="D26" s="617"/>
      <c r="E26" s="617"/>
      <c r="F26" s="617"/>
      <c r="G26" s="617"/>
      <c r="H26" s="617"/>
      <c r="I26" s="617"/>
      <c r="J26" s="617"/>
      <c r="K26" s="617"/>
      <c r="L26" s="617"/>
      <c r="M26" s="617"/>
      <c r="N26" s="617"/>
      <c r="O26" s="617"/>
      <c r="P26" s="617"/>
      <c r="Q26" s="617"/>
      <c r="R26" s="618"/>
      <c r="S26" s="15"/>
      <c r="T26" s="10"/>
      <c r="U26" s="377"/>
      <c r="V26" s="13"/>
      <c r="W26" s="86" t="s">
        <v>110</v>
      </c>
      <c r="X26" s="13"/>
      <c r="Y26" s="23"/>
      <c r="Z26" s="13"/>
      <c r="AA26" s="86" t="s">
        <v>111</v>
      </c>
      <c r="AB26" s="13"/>
      <c r="AC26" s="13"/>
      <c r="AD26" s="21"/>
      <c r="AE26" s="118" t="s">
        <v>964</v>
      </c>
      <c r="AF26" s="13"/>
      <c r="AG26" s="13"/>
      <c r="AH26" s="13"/>
      <c r="AI26" s="13"/>
      <c r="AJ26" s="13"/>
      <c r="AK26" s="13"/>
      <c r="AL26" s="13"/>
      <c r="AM26" s="13"/>
      <c r="AN26" s="13"/>
      <c r="AO26" s="13"/>
      <c r="AP26" s="13"/>
      <c r="AQ26" s="13"/>
      <c r="AR26" s="385"/>
    </row>
    <row r="27" spans="1:44" ht="15.75" customHeight="1" x14ac:dyDescent="0.15">
      <c r="A27" s="25"/>
      <c r="B27" s="616"/>
      <c r="C27" s="617"/>
      <c r="D27" s="617"/>
      <c r="E27" s="617"/>
      <c r="F27" s="617"/>
      <c r="G27" s="617"/>
      <c r="H27" s="617"/>
      <c r="I27" s="617"/>
      <c r="J27" s="617"/>
      <c r="K27" s="617"/>
      <c r="L27" s="617"/>
      <c r="M27" s="617"/>
      <c r="N27" s="617"/>
      <c r="O27" s="617"/>
      <c r="P27" s="617"/>
      <c r="Q27" s="617"/>
      <c r="R27" s="618"/>
      <c r="S27" s="15"/>
      <c r="T27" s="10"/>
      <c r="U27" s="378" t="s">
        <v>116</v>
      </c>
      <c r="V27" s="89" t="s">
        <v>9</v>
      </c>
      <c r="W27" s="89" t="s">
        <v>10</v>
      </c>
      <c r="X27" s="89" t="s">
        <v>11</v>
      </c>
      <c r="Y27" s="46"/>
      <c r="Z27" s="13"/>
      <c r="AA27" s="89" t="s">
        <v>10</v>
      </c>
      <c r="AB27" s="89" t="s">
        <v>11</v>
      </c>
      <c r="AC27" s="89"/>
      <c r="AD27" s="21"/>
      <c r="AE27" s="90" t="s">
        <v>116</v>
      </c>
      <c r="AF27" s="13"/>
      <c r="AG27" s="13"/>
      <c r="AH27" s="13"/>
      <c r="AI27" s="13"/>
      <c r="AJ27" s="13"/>
      <c r="AK27" s="13"/>
      <c r="AL27" s="13"/>
      <c r="AM27" s="89" t="s">
        <v>9</v>
      </c>
      <c r="AN27" s="13"/>
      <c r="AO27" s="13"/>
      <c r="AP27" s="89" t="s">
        <v>10</v>
      </c>
      <c r="AQ27" s="89" t="s">
        <v>11</v>
      </c>
      <c r="AR27" s="14"/>
    </row>
    <row r="28" spans="1:44" ht="15.75" customHeight="1" x14ac:dyDescent="0.2">
      <c r="A28" s="25"/>
      <c r="B28" s="616"/>
      <c r="C28" s="617"/>
      <c r="D28" s="617"/>
      <c r="E28" s="617"/>
      <c r="F28" s="617"/>
      <c r="G28" s="617"/>
      <c r="H28" s="617"/>
      <c r="I28" s="617"/>
      <c r="J28" s="617"/>
      <c r="K28" s="617"/>
      <c r="L28" s="617"/>
      <c r="M28" s="617"/>
      <c r="N28" s="617"/>
      <c r="O28" s="617"/>
      <c r="P28" s="617"/>
      <c r="Q28" s="617"/>
      <c r="R28" s="618"/>
      <c r="S28" s="15"/>
      <c r="T28" s="10"/>
      <c r="U28" s="379" t="s">
        <v>874</v>
      </c>
      <c r="V28" s="92" t="s">
        <v>20</v>
      </c>
      <c r="W28" s="93">
        <f>W7-AA7</f>
        <v>0</v>
      </c>
      <c r="X28" s="56" t="s">
        <v>119</v>
      </c>
      <c r="Y28" s="57"/>
      <c r="Z28" s="61"/>
      <c r="AA28" s="93">
        <f>AE7-AI7</f>
        <v>0</v>
      </c>
      <c r="AB28" s="56" t="s">
        <v>120</v>
      </c>
      <c r="AC28" s="56"/>
      <c r="AD28" s="21"/>
      <c r="AE28" s="95" t="s">
        <v>876</v>
      </c>
      <c r="AF28" s="61"/>
      <c r="AG28" s="61"/>
      <c r="AH28" s="61"/>
      <c r="AI28" s="61"/>
      <c r="AJ28" s="61"/>
      <c r="AK28" s="61"/>
      <c r="AL28" s="61"/>
      <c r="AM28" s="92" t="s">
        <v>20</v>
      </c>
      <c r="AN28" s="61"/>
      <c r="AO28" s="61"/>
      <c r="AP28" s="93">
        <f>AL7-AP7</f>
        <v>0</v>
      </c>
      <c r="AQ28" s="56" t="s">
        <v>121</v>
      </c>
      <c r="AR28" s="14"/>
    </row>
    <row r="29" spans="1:44" ht="15.75" customHeight="1" x14ac:dyDescent="0.2">
      <c r="A29" s="25"/>
      <c r="B29" s="616"/>
      <c r="C29" s="617"/>
      <c r="D29" s="617"/>
      <c r="E29" s="617"/>
      <c r="F29" s="617"/>
      <c r="G29" s="617"/>
      <c r="H29" s="617"/>
      <c r="I29" s="617"/>
      <c r="J29" s="617"/>
      <c r="K29" s="617"/>
      <c r="L29" s="617"/>
      <c r="M29" s="617"/>
      <c r="N29" s="617"/>
      <c r="O29" s="617"/>
      <c r="P29" s="617"/>
      <c r="Q29" s="617"/>
      <c r="R29" s="618"/>
      <c r="S29" s="15"/>
      <c r="T29" s="10"/>
      <c r="U29" s="379" t="s">
        <v>122</v>
      </c>
      <c r="V29" s="92" t="s">
        <v>20</v>
      </c>
      <c r="W29" s="93">
        <f>AA17-$N$19</f>
        <v>0</v>
      </c>
      <c r="X29" s="56" t="s">
        <v>123</v>
      </c>
      <c r="Y29" s="57"/>
      <c r="Z29" s="61"/>
      <c r="AA29" s="93">
        <f>IF(AA28=0,0,AI17-$N$19)</f>
        <v>0</v>
      </c>
      <c r="AB29" s="56" t="s">
        <v>124</v>
      </c>
      <c r="AC29" s="56"/>
      <c r="AD29" s="94"/>
      <c r="AE29" s="95" t="s">
        <v>125</v>
      </c>
      <c r="AF29" s="61"/>
      <c r="AG29" s="61"/>
      <c r="AH29" s="61"/>
      <c r="AI29" s="61"/>
      <c r="AJ29" s="61"/>
      <c r="AK29" s="61"/>
      <c r="AL29" s="61"/>
      <c r="AM29" s="92" t="s">
        <v>20</v>
      </c>
      <c r="AN29" s="61"/>
      <c r="AO29" s="61"/>
      <c r="AP29" s="93">
        <f>(AP17-$N$19)-W29</f>
        <v>0</v>
      </c>
      <c r="AQ29" s="56" t="s">
        <v>126</v>
      </c>
      <c r="AR29" s="14"/>
    </row>
    <row r="30" spans="1:44" ht="15.75" customHeight="1" x14ac:dyDescent="0.2">
      <c r="A30" s="25"/>
      <c r="B30" s="616"/>
      <c r="C30" s="617"/>
      <c r="D30" s="617"/>
      <c r="E30" s="617"/>
      <c r="F30" s="617"/>
      <c r="G30" s="617"/>
      <c r="H30" s="617"/>
      <c r="I30" s="617"/>
      <c r="J30" s="617"/>
      <c r="K30" s="617"/>
      <c r="L30" s="617"/>
      <c r="M30" s="617"/>
      <c r="N30" s="617"/>
      <c r="O30" s="617"/>
      <c r="P30" s="617"/>
      <c r="Q30" s="617"/>
      <c r="R30" s="618"/>
      <c r="S30" s="15"/>
      <c r="T30" s="10"/>
      <c r="U30" s="379" t="s">
        <v>875</v>
      </c>
      <c r="V30" s="92" t="s">
        <v>20</v>
      </c>
      <c r="W30" s="327" t="e">
        <f>(W28*($E$20*(1-$E$18)-$E$18*(4.186*($N$20-$E$15)+2257))-W29*$E23)/$E$20</f>
        <v>#DIV/0!</v>
      </c>
      <c r="X30" s="328" t="s">
        <v>127</v>
      </c>
      <c r="Y30" s="329"/>
      <c r="Z30" s="330"/>
      <c r="AA30" s="327">
        <f>IF(AA28=0,0,(AA28*($E$20*(1-$E$18)-$E$18*(4.186*($N$20-$E$15)+2257))-AA29*$E23)/$E$20)</f>
        <v>0</v>
      </c>
      <c r="AB30" s="328" t="s">
        <v>128</v>
      </c>
      <c r="AC30" s="328"/>
      <c r="AD30" s="331"/>
      <c r="AE30" s="332" t="s">
        <v>875</v>
      </c>
      <c r="AF30" s="330"/>
      <c r="AG30" s="330"/>
      <c r="AH30" s="330"/>
      <c r="AI30" s="330"/>
      <c r="AJ30" s="330"/>
      <c r="AK30" s="330"/>
      <c r="AL30" s="330"/>
      <c r="AM30" s="333" t="s">
        <v>20</v>
      </c>
      <c r="AN30" s="330"/>
      <c r="AO30" s="330"/>
      <c r="AP30" s="327" t="e">
        <f>(AP28*($E$20*(1-$E$18)-$E$18*(4.186*($N$20-$E$15)+2257))-AP29*$E23)/$E$20</f>
        <v>#DIV/0!</v>
      </c>
      <c r="AQ30" s="56" t="s">
        <v>129</v>
      </c>
      <c r="AR30" s="14"/>
    </row>
    <row r="31" spans="1:44" ht="15.75" customHeight="1" x14ac:dyDescent="0.2">
      <c r="A31" s="25"/>
      <c r="B31" s="616"/>
      <c r="C31" s="617"/>
      <c r="D31" s="617"/>
      <c r="E31" s="617"/>
      <c r="F31" s="617"/>
      <c r="G31" s="617"/>
      <c r="H31" s="617"/>
      <c r="I31" s="617"/>
      <c r="J31" s="617"/>
      <c r="K31" s="617"/>
      <c r="L31" s="617"/>
      <c r="M31" s="617"/>
      <c r="N31" s="617"/>
      <c r="O31" s="617"/>
      <c r="P31" s="617"/>
      <c r="Q31" s="617"/>
      <c r="R31" s="618"/>
      <c r="S31" s="15"/>
      <c r="T31" s="10"/>
      <c r="U31" s="379" t="s">
        <v>130</v>
      </c>
      <c r="V31" s="92" t="s">
        <v>20</v>
      </c>
      <c r="W31" s="93">
        <f>SUM(W12:W15)-SUM(AA12:AA15)</f>
        <v>0</v>
      </c>
      <c r="X31" s="56" t="s">
        <v>131</v>
      </c>
      <c r="Y31" s="57"/>
      <c r="Z31" s="61"/>
      <c r="AA31" s="93">
        <f>SUM(AE12:AE15)-SUM(AI12:AI15)</f>
        <v>0</v>
      </c>
      <c r="AB31" s="56" t="s">
        <v>132</v>
      </c>
      <c r="AC31" s="56"/>
      <c r="AD31" s="94"/>
      <c r="AE31" s="95" t="s">
        <v>133</v>
      </c>
      <c r="AF31" s="61"/>
      <c r="AG31" s="61"/>
      <c r="AH31" s="61"/>
      <c r="AI31" s="61"/>
      <c r="AJ31" s="61"/>
      <c r="AK31" s="61"/>
      <c r="AL31" s="61"/>
      <c r="AM31" s="92" t="s">
        <v>20</v>
      </c>
      <c r="AN31" s="61"/>
      <c r="AO31" s="61"/>
      <c r="AP31" s="93">
        <f>(AL12-AP12)+(AL13-AP13)+(AL14-AP14)+(AL15-AP15)</f>
        <v>0</v>
      </c>
      <c r="AQ31" s="56" t="s">
        <v>134</v>
      </c>
      <c r="AR31" s="14"/>
    </row>
    <row r="32" spans="1:44" ht="15.75" customHeight="1" x14ac:dyDescent="0.2">
      <c r="A32" s="25"/>
      <c r="B32" s="616"/>
      <c r="C32" s="617"/>
      <c r="D32" s="617"/>
      <c r="E32" s="617"/>
      <c r="F32" s="617"/>
      <c r="G32" s="617"/>
      <c r="H32" s="617"/>
      <c r="I32" s="617"/>
      <c r="J32" s="617"/>
      <c r="K32" s="617"/>
      <c r="L32" s="617"/>
      <c r="M32" s="617"/>
      <c r="N32" s="617"/>
      <c r="O32" s="617"/>
      <c r="P32" s="617"/>
      <c r="Q32" s="617"/>
      <c r="R32" s="618"/>
      <c r="S32" s="15"/>
      <c r="T32" s="10"/>
      <c r="U32" s="379" t="s">
        <v>135</v>
      </c>
      <c r="V32" s="92" t="s">
        <v>20</v>
      </c>
      <c r="W32" s="93" t="e">
        <f>((AA12-$N15)*(AA8-W8)/($N$20-W8)+(AA13-$N16)*(AA9-W9)/($N$20-W9)+(AA14-$N17)*(AA10-W10)/($N$20-W10)+(AA15-$N18)*(AA11-W11)/($N$20-W11))</f>
        <v>#DIV/0!</v>
      </c>
      <c r="X32" s="56" t="s">
        <v>136</v>
      </c>
      <c r="Y32" s="57"/>
      <c r="Z32" s="61"/>
      <c r="AA32" s="93" t="e">
        <f>((AI12-$N15)*(AI8-AE8)/($N$20-AE8)+(AI13-$N16)*(AI9-AE9)/($N$20-AE9)+(AI14-$N17)*(AI10-AE10)/($N$20-AE10)+(AI15-$N18)*(AI11-AE11)/($N$20-AE11))</f>
        <v>#DIV/0!</v>
      </c>
      <c r="AB32" s="56" t="s">
        <v>137</v>
      </c>
      <c r="AC32" s="56"/>
      <c r="AD32" s="94"/>
      <c r="AE32" s="95" t="s">
        <v>138</v>
      </c>
      <c r="AF32" s="61"/>
      <c r="AG32" s="61"/>
      <c r="AH32" s="61"/>
      <c r="AI32" s="61"/>
      <c r="AJ32" s="61"/>
      <c r="AK32" s="61"/>
      <c r="AL32" s="61"/>
      <c r="AM32" s="92" t="s">
        <v>20</v>
      </c>
      <c r="AN32" s="61"/>
      <c r="AO32" s="61"/>
      <c r="AP32" s="93">
        <f>(AP12-$N$15+((AP9-25)/(N20-25))*(AP13-N16)+((AP10-25)/(N20-25))*(AP14-N17)+((AP11-25)/(N20-25))*(AP15-N18))</f>
        <v>0</v>
      </c>
      <c r="AQ32" s="56" t="s">
        <v>139</v>
      </c>
      <c r="AR32" s="14"/>
    </row>
    <row r="33" spans="1:122" ht="15.75" customHeight="1" x14ac:dyDescent="0.2">
      <c r="A33" s="25"/>
      <c r="B33" s="616"/>
      <c r="C33" s="617"/>
      <c r="D33" s="617"/>
      <c r="E33" s="617"/>
      <c r="F33" s="617"/>
      <c r="G33" s="617"/>
      <c r="H33" s="617"/>
      <c r="I33" s="617"/>
      <c r="J33" s="617"/>
      <c r="K33" s="617"/>
      <c r="L33" s="617"/>
      <c r="M33" s="617"/>
      <c r="N33" s="617"/>
      <c r="O33" s="617"/>
      <c r="P33" s="617"/>
      <c r="Q33" s="617"/>
      <c r="R33" s="618"/>
      <c r="S33" s="15"/>
      <c r="T33" s="10"/>
      <c r="U33" s="379" t="s">
        <v>140</v>
      </c>
      <c r="V33" s="92" t="s">
        <v>141</v>
      </c>
      <c r="W33" s="93">
        <f>(AA6-W6)*1440</f>
        <v>0</v>
      </c>
      <c r="X33" s="56" t="s">
        <v>142</v>
      </c>
      <c r="Y33" s="57"/>
      <c r="Z33" s="61"/>
      <c r="AA33" s="93">
        <f>(AI6-AE6)*1440</f>
        <v>0</v>
      </c>
      <c r="AB33" s="56" t="s">
        <v>143</v>
      </c>
      <c r="AC33" s="56"/>
      <c r="AD33" s="94"/>
      <c r="AE33" s="95" t="s">
        <v>144</v>
      </c>
      <c r="AF33" s="61"/>
      <c r="AG33" s="61"/>
      <c r="AH33" s="61"/>
      <c r="AI33" s="61"/>
      <c r="AJ33" s="61"/>
      <c r="AK33" s="61"/>
      <c r="AL33" s="61"/>
      <c r="AM33" s="92" t="s">
        <v>141</v>
      </c>
      <c r="AN33" s="61"/>
      <c r="AO33" s="61"/>
      <c r="AP33" s="93">
        <f>(AP6-AL6)*1440</f>
        <v>0</v>
      </c>
      <c r="AQ33" s="56" t="s">
        <v>145</v>
      </c>
      <c r="AR33" s="14"/>
    </row>
    <row r="34" spans="1:122" ht="15.75" customHeight="1" x14ac:dyDescent="0.2">
      <c r="A34" s="25"/>
      <c r="B34" s="616"/>
      <c r="C34" s="617"/>
      <c r="D34" s="617"/>
      <c r="E34" s="617"/>
      <c r="F34" s="617"/>
      <c r="G34" s="617"/>
      <c r="H34" s="617"/>
      <c r="I34" s="617"/>
      <c r="J34" s="617"/>
      <c r="K34" s="617"/>
      <c r="L34" s="617"/>
      <c r="M34" s="617"/>
      <c r="N34" s="617"/>
      <c r="O34" s="617"/>
      <c r="P34" s="617"/>
      <c r="Q34" s="617"/>
      <c r="R34" s="618"/>
      <c r="S34" s="15"/>
      <c r="T34" s="10"/>
      <c r="U34" s="379" t="s">
        <v>146</v>
      </c>
      <c r="V34" s="92" t="s">
        <v>141</v>
      </c>
      <c r="W34" s="327" t="e">
        <f>W33*75/(N20-W8)</f>
        <v>#DIV/0!</v>
      </c>
      <c r="X34" s="56" t="s">
        <v>147</v>
      </c>
      <c r="Y34" s="57"/>
      <c r="Z34" s="61"/>
      <c r="AA34" s="327" t="e">
        <f>AA33*75/(N20-AE8)</f>
        <v>#DIV/0!</v>
      </c>
      <c r="AB34" s="56" t="s">
        <v>148</v>
      </c>
      <c r="AC34" s="56"/>
      <c r="AD34" s="94"/>
      <c r="AE34" s="95" t="s">
        <v>149</v>
      </c>
      <c r="AF34" s="61"/>
      <c r="AG34" s="61"/>
      <c r="AH34" s="61"/>
      <c r="AI34" s="61"/>
      <c r="AJ34" s="61"/>
      <c r="AK34" s="61"/>
      <c r="AL34" s="61"/>
      <c r="AM34" s="92" t="s">
        <v>113</v>
      </c>
      <c r="AN34" s="61"/>
      <c r="AO34" s="61"/>
      <c r="AP34" s="434" t="e">
        <f>(4.186*((AL12-$N15+AP32)/2)*(AP8-AL8)+2260*AP31)/(AP30*$E$20)</f>
        <v>#DIV/0!</v>
      </c>
      <c r="AQ34" s="56" t="s">
        <v>150</v>
      </c>
      <c r="AR34" s="14"/>
    </row>
    <row r="35" spans="1:122" ht="15.75" customHeight="1" x14ac:dyDescent="0.2">
      <c r="A35" s="25"/>
      <c r="B35" s="613"/>
      <c r="C35" s="614"/>
      <c r="D35" s="614"/>
      <c r="E35" s="614"/>
      <c r="F35" s="614"/>
      <c r="G35" s="614"/>
      <c r="H35" s="614"/>
      <c r="I35" s="614"/>
      <c r="J35" s="614"/>
      <c r="K35" s="614"/>
      <c r="L35" s="614"/>
      <c r="M35" s="614"/>
      <c r="N35" s="614"/>
      <c r="O35" s="614"/>
      <c r="P35" s="614"/>
      <c r="Q35" s="614"/>
      <c r="R35" s="615"/>
      <c r="S35" s="15"/>
      <c r="T35" s="10"/>
      <c r="U35" s="379" t="s">
        <v>149</v>
      </c>
      <c r="V35" s="92" t="s">
        <v>113</v>
      </c>
      <c r="W35" s="434" t="e">
        <f>(4.186*SUM((W12-$N15)*(AA8-W8),(W13-$N16)*(AA9-W9),(W14-$N17)*(AA10-W10),(W15-$N18)*(AA11-W11))+2260*W31)/(W30*$E20)</f>
        <v>#DIV/0!</v>
      </c>
      <c r="X35" s="56" t="s">
        <v>151</v>
      </c>
      <c r="Y35" s="57"/>
      <c r="Z35" s="61"/>
      <c r="AA35" s="434" t="e">
        <f>(4.186*SUM((AE12-$N15)*(AI8-AE8),(AE13-$N16)*(AI9-AE9),(AE14-$N17)*(AI10-AE10),(AE15-$N18)*(AI11-AE11))+2260*AA31)/(AA30*$E20)</f>
        <v>#DIV/0!</v>
      </c>
      <c r="AB35" s="56" t="s">
        <v>152</v>
      </c>
      <c r="AC35" s="56"/>
      <c r="AD35" s="94"/>
      <c r="AE35" s="95" t="s">
        <v>153</v>
      </c>
      <c r="AF35" s="61"/>
      <c r="AG35" s="61"/>
      <c r="AH35" s="61"/>
      <c r="AI35" s="61"/>
      <c r="AJ35" s="61"/>
      <c r="AK35" s="61"/>
      <c r="AL35" s="61"/>
      <c r="AM35" s="92" t="s">
        <v>154</v>
      </c>
      <c r="AN35" s="61"/>
      <c r="AO35" s="61"/>
      <c r="AP35" s="421" t="e">
        <f>AP30/AP33</f>
        <v>#DIV/0!</v>
      </c>
      <c r="AQ35" s="56" t="s">
        <v>155</v>
      </c>
      <c r="AR35" s="14"/>
    </row>
    <row r="36" spans="1:122" ht="15.75" customHeight="1" thickBot="1" x14ac:dyDescent="0.25">
      <c r="A36" s="25"/>
      <c r="B36" s="110" t="s">
        <v>184</v>
      </c>
      <c r="C36" s="110"/>
      <c r="D36" s="110"/>
      <c r="E36" s="110"/>
      <c r="F36" s="110"/>
      <c r="G36" s="110"/>
      <c r="H36" s="110"/>
      <c r="I36" s="110"/>
      <c r="J36" s="110"/>
      <c r="K36" s="110"/>
      <c r="L36" s="110"/>
      <c r="M36" s="110"/>
      <c r="N36" s="110"/>
      <c r="O36" s="111"/>
      <c r="P36" s="111"/>
      <c r="Q36" s="111"/>
      <c r="R36" s="111"/>
      <c r="S36" s="15"/>
      <c r="T36" s="10"/>
      <c r="U36" s="379" t="s">
        <v>153</v>
      </c>
      <c r="V36" s="92" t="s">
        <v>154</v>
      </c>
      <c r="W36" s="421" t="e">
        <f>W30/W33</f>
        <v>#DIV/0!</v>
      </c>
      <c r="X36" s="92" t="s">
        <v>156</v>
      </c>
      <c r="Y36" s="57"/>
      <c r="Z36" s="61"/>
      <c r="AA36" s="421" t="e">
        <f>AA30/AA33</f>
        <v>#DIV/0!</v>
      </c>
      <c r="AB36" s="56" t="s">
        <v>157</v>
      </c>
      <c r="AC36" s="56"/>
      <c r="AD36" s="94"/>
      <c r="AE36" s="95" t="s">
        <v>158</v>
      </c>
      <c r="AF36" s="61"/>
      <c r="AG36" s="61"/>
      <c r="AH36" s="61"/>
      <c r="AI36" s="61"/>
      <c r="AJ36" s="61"/>
      <c r="AK36" s="61"/>
      <c r="AL36" s="61"/>
      <c r="AM36" s="92" t="s">
        <v>844</v>
      </c>
      <c r="AN36" s="61"/>
      <c r="AO36" s="61"/>
      <c r="AP36" s="421" t="e">
        <f>AP30/AP32*1000</f>
        <v>#DIV/0!</v>
      </c>
      <c r="AQ36" s="56" t="s">
        <v>160</v>
      </c>
      <c r="AR36" s="14"/>
    </row>
    <row r="37" spans="1:122" ht="13.5" customHeight="1" thickTop="1" thickBot="1" x14ac:dyDescent="0.25">
      <c r="A37" s="109"/>
      <c r="B37" s="249"/>
      <c r="C37" s="249"/>
      <c r="D37" s="249"/>
      <c r="E37" s="249"/>
      <c r="F37" s="249"/>
      <c r="G37" s="249"/>
      <c r="H37" s="249"/>
      <c r="I37" s="249"/>
      <c r="J37" s="249"/>
      <c r="K37" s="249"/>
      <c r="L37" s="249"/>
      <c r="M37" s="249"/>
      <c r="N37" s="249"/>
      <c r="O37" s="249"/>
      <c r="P37" s="249"/>
      <c r="Q37" s="249"/>
      <c r="R37" s="249"/>
      <c r="S37" s="112"/>
      <c r="T37" s="10"/>
      <c r="U37" s="379" t="s">
        <v>158</v>
      </c>
      <c r="V37" s="92" t="s">
        <v>845</v>
      </c>
      <c r="W37" s="435" t="e">
        <f>1000*W30/W32</f>
        <v>#DIV/0!</v>
      </c>
      <c r="X37" s="56" t="s">
        <v>161</v>
      </c>
      <c r="Y37" s="57"/>
      <c r="Z37" s="61"/>
      <c r="AA37" s="435" t="e">
        <f>1000*AA30/AA32</f>
        <v>#DIV/0!</v>
      </c>
      <c r="AB37" s="56" t="s">
        <v>162</v>
      </c>
      <c r="AC37" s="56"/>
      <c r="AD37" s="94"/>
      <c r="AE37" s="95" t="s">
        <v>163</v>
      </c>
      <c r="AF37" s="61"/>
      <c r="AG37" s="61"/>
      <c r="AH37" s="61"/>
      <c r="AI37" s="61"/>
      <c r="AJ37" s="61"/>
      <c r="AK37" s="61"/>
      <c r="AL37" s="61"/>
      <c r="AM37" s="92" t="s">
        <v>164</v>
      </c>
      <c r="AN37" s="61"/>
      <c r="AO37" s="61"/>
      <c r="AP37" s="327" t="e">
        <f>AP30*$E$20/(AP33*60)</f>
        <v>#DIV/0!</v>
      </c>
      <c r="AQ37" s="56" t="s">
        <v>165</v>
      </c>
      <c r="AR37" s="14"/>
    </row>
    <row r="38" spans="1:122" ht="15.6" customHeight="1" thickTop="1" x14ac:dyDescent="0.2">
      <c r="B38" s="118" t="str">
        <f>"TEST #10 "&amp;D7</f>
        <v xml:space="preserve">TEST #10 </v>
      </c>
      <c r="S38" s="2"/>
      <c r="T38" s="21"/>
      <c r="U38" s="379" t="s">
        <v>166</v>
      </c>
      <c r="V38" s="92" t="s">
        <v>159</v>
      </c>
      <c r="W38" s="435" t="e">
        <f>W37*75/($N$20-W8)</f>
        <v>#DIV/0!</v>
      </c>
      <c r="X38" s="56" t="s">
        <v>167</v>
      </c>
      <c r="Y38" s="57"/>
      <c r="Z38" s="61"/>
      <c r="AA38" s="435" t="e">
        <f>AA37*75/($N$20-AE8)</f>
        <v>#DIV/0!</v>
      </c>
      <c r="AB38" s="56" t="s">
        <v>168</v>
      </c>
      <c r="AC38" s="56"/>
      <c r="AD38" s="94"/>
      <c r="AE38" s="95" t="s">
        <v>169</v>
      </c>
      <c r="AF38" s="61"/>
      <c r="AG38" s="61"/>
      <c r="AH38" s="61"/>
      <c r="AI38" s="61"/>
      <c r="AJ38" s="61"/>
      <c r="AK38" s="61"/>
      <c r="AL38" s="61"/>
      <c r="AM38" s="92" t="s">
        <v>92</v>
      </c>
      <c r="AN38" s="61"/>
      <c r="AO38" s="61"/>
      <c r="AP38" s="417" t="e">
        <f>W40/AP37</f>
        <v>#DIV/0!</v>
      </c>
      <c r="AQ38" s="92" t="s">
        <v>170</v>
      </c>
      <c r="AR38" s="14"/>
    </row>
    <row r="39" spans="1:122" ht="15.6" customHeight="1" thickBot="1" x14ac:dyDescent="0.25">
      <c r="B39" s="619" t="s">
        <v>747</v>
      </c>
      <c r="C39" s="620"/>
      <c r="D39" s="620"/>
      <c r="E39" s="620"/>
      <c r="F39" s="620"/>
      <c r="G39" s="620"/>
      <c r="H39" s="620"/>
      <c r="I39" s="620"/>
      <c r="J39" s="620"/>
      <c r="K39" s="620"/>
      <c r="L39" s="620"/>
      <c r="M39" s="620"/>
      <c r="N39" s="620"/>
      <c r="O39" s="620"/>
      <c r="P39" s="620"/>
      <c r="Q39" s="620"/>
      <c r="R39" s="621"/>
      <c r="T39" s="21"/>
      <c r="U39" s="379" t="s">
        <v>171</v>
      </c>
      <c r="V39" s="92" t="s">
        <v>172</v>
      </c>
      <c r="W39" s="93" t="e">
        <f>(W38/1000)*E20</f>
        <v>#DIV/0!</v>
      </c>
      <c r="X39" s="56" t="s">
        <v>173</v>
      </c>
      <c r="Y39" s="57"/>
      <c r="Z39" s="61"/>
      <c r="AA39" s="93" t="e">
        <f>(AA38/1000)*E20</f>
        <v>#DIV/0!</v>
      </c>
      <c r="AB39" s="56" t="s">
        <v>174</v>
      </c>
      <c r="AC39" s="56"/>
      <c r="AD39" s="94"/>
      <c r="AE39" s="102" t="s">
        <v>175</v>
      </c>
      <c r="AF39" s="103"/>
      <c r="AG39" s="103"/>
      <c r="AH39" s="103"/>
      <c r="AI39" s="103"/>
      <c r="AJ39" s="103"/>
      <c r="AK39" s="103"/>
      <c r="AL39" s="103"/>
      <c r="AM39" s="104" t="s">
        <v>172</v>
      </c>
      <c r="AN39" s="103"/>
      <c r="AO39" s="103"/>
      <c r="AP39" s="105" t="e">
        <f>(AP36/1000)*E20</f>
        <v>#DIV/0!</v>
      </c>
      <c r="AQ39" s="106" t="s">
        <v>176</v>
      </c>
      <c r="AR39" s="107"/>
    </row>
    <row r="40" spans="1:122" ht="14.25" thickBot="1" x14ac:dyDescent="0.25">
      <c r="B40" s="616"/>
      <c r="C40" s="617"/>
      <c r="D40" s="617"/>
      <c r="E40" s="617"/>
      <c r="F40" s="617"/>
      <c r="G40" s="617"/>
      <c r="H40" s="617"/>
      <c r="I40" s="617"/>
      <c r="J40" s="617"/>
      <c r="K40" s="617"/>
      <c r="L40" s="617"/>
      <c r="M40" s="617"/>
      <c r="N40" s="617"/>
      <c r="O40" s="617"/>
      <c r="P40" s="617"/>
      <c r="Q40" s="617"/>
      <c r="R40" s="618"/>
      <c r="T40" s="21"/>
      <c r="U40" s="380" t="s">
        <v>163</v>
      </c>
      <c r="V40" s="115" t="s">
        <v>164</v>
      </c>
      <c r="W40" s="422" t="e">
        <f>W30*$E$20/(W33*60)</f>
        <v>#DIV/0!</v>
      </c>
      <c r="X40" s="376" t="s">
        <v>177</v>
      </c>
      <c r="Y40" s="252"/>
      <c r="Z40" s="114"/>
      <c r="AA40" s="422" t="e">
        <f>AA30*$E$20/(AA33*60)</f>
        <v>#DIV/0!</v>
      </c>
      <c r="AB40" s="376" t="s">
        <v>178</v>
      </c>
      <c r="AC40" s="376"/>
      <c r="AD40" s="253"/>
      <c r="AE40" s="3" t="s">
        <v>179</v>
      </c>
      <c r="AM40" s="3" t="s">
        <v>20</v>
      </c>
      <c r="AP40" s="388" t="e">
        <f>IF(ISERROR(AA38),5*(W38+AP36),5*(AVERAGE(W38,AA38)+AP36))</f>
        <v>#DIV/0!</v>
      </c>
      <c r="AQ40" s="108" t="s">
        <v>180</v>
      </c>
      <c r="AR40" s="14"/>
      <c r="DG40" s="1"/>
      <c r="DH40" s="1"/>
      <c r="DI40" s="1"/>
      <c r="DJ40" s="1"/>
      <c r="DK40" s="1"/>
      <c r="DL40" s="1"/>
      <c r="DM40" s="1"/>
      <c r="DN40" s="1"/>
      <c r="DO40" s="1"/>
      <c r="DP40" s="1"/>
      <c r="DQ40" s="1"/>
      <c r="DR40" s="1"/>
    </row>
    <row r="41" spans="1:122" ht="15.6" customHeight="1" thickTop="1" thickBot="1" x14ac:dyDescent="0.2">
      <c r="B41" s="616"/>
      <c r="C41" s="617"/>
      <c r="D41" s="617"/>
      <c r="E41" s="617"/>
      <c r="F41" s="617"/>
      <c r="G41" s="617"/>
      <c r="H41" s="617"/>
      <c r="I41" s="617"/>
      <c r="J41" s="617"/>
      <c r="K41" s="617"/>
      <c r="L41" s="617"/>
      <c r="M41" s="617"/>
      <c r="N41" s="617"/>
      <c r="O41" s="617"/>
      <c r="P41" s="617"/>
      <c r="Q41" s="617"/>
      <c r="R41" s="618"/>
      <c r="T41" s="13"/>
      <c r="U41" s="13"/>
      <c r="V41" s="13"/>
      <c r="W41" s="13"/>
      <c r="X41" s="13"/>
      <c r="Y41" s="8"/>
      <c r="Z41" s="8"/>
      <c r="AA41" s="8"/>
      <c r="AB41" s="13"/>
      <c r="AC41" s="8"/>
      <c r="AD41" s="384"/>
      <c r="AE41" s="114" t="s">
        <v>181</v>
      </c>
      <c r="AF41" s="114"/>
      <c r="AG41" s="114"/>
      <c r="AH41" s="114"/>
      <c r="AI41" s="114"/>
      <c r="AJ41" s="114"/>
      <c r="AK41" s="114"/>
      <c r="AL41" s="114"/>
      <c r="AM41" s="114" t="s">
        <v>182</v>
      </c>
      <c r="AN41" s="114"/>
      <c r="AO41" s="114"/>
      <c r="AP41" s="254" t="e">
        <f>(AP40/1000)*E20</f>
        <v>#DIV/0!</v>
      </c>
      <c r="AQ41" s="115" t="s">
        <v>183</v>
      </c>
      <c r="AR41" s="116"/>
      <c r="DG41" s="1"/>
      <c r="DH41" s="1"/>
      <c r="DI41" s="1"/>
      <c r="DJ41" s="1"/>
      <c r="DK41" s="1"/>
      <c r="DL41" s="1"/>
      <c r="DM41" s="1"/>
      <c r="DN41" s="1"/>
      <c r="DO41" s="1"/>
      <c r="DP41" s="1"/>
      <c r="DQ41" s="1"/>
      <c r="DR41" s="1"/>
    </row>
    <row r="42" spans="1:122" ht="15.6" customHeight="1" thickTop="1" thickBot="1" x14ac:dyDescent="0.2">
      <c r="B42" s="616"/>
      <c r="C42" s="617"/>
      <c r="D42" s="617"/>
      <c r="E42" s="617"/>
      <c r="F42" s="617"/>
      <c r="G42" s="617"/>
      <c r="H42" s="617"/>
      <c r="I42" s="617"/>
      <c r="J42" s="617"/>
      <c r="K42" s="617"/>
      <c r="L42" s="617"/>
      <c r="M42" s="617"/>
      <c r="N42" s="617"/>
      <c r="O42" s="617"/>
      <c r="P42" s="617"/>
      <c r="Q42" s="617"/>
      <c r="R42" s="618"/>
      <c r="U42" s="387" t="s">
        <v>966</v>
      </c>
      <c r="W42" s="108">
        <v>1</v>
      </c>
      <c r="DG42" s="1"/>
      <c r="DH42" s="1"/>
      <c r="DI42" s="1"/>
      <c r="DJ42" s="1"/>
      <c r="DK42" s="1"/>
      <c r="DL42" s="1"/>
      <c r="DM42" s="1"/>
      <c r="DN42" s="1"/>
      <c r="DO42" s="1"/>
      <c r="DP42" s="1"/>
      <c r="DQ42" s="1"/>
      <c r="DR42" s="1"/>
    </row>
    <row r="43" spans="1:122" ht="15.6" customHeight="1" thickTop="1" x14ac:dyDescent="0.15">
      <c r="B43" s="616"/>
      <c r="C43" s="617"/>
      <c r="D43" s="617"/>
      <c r="E43" s="617"/>
      <c r="F43" s="617"/>
      <c r="G43" s="617"/>
      <c r="H43" s="617"/>
      <c r="I43" s="617"/>
      <c r="J43" s="617"/>
      <c r="K43" s="617"/>
      <c r="L43" s="617"/>
      <c r="M43" s="617"/>
      <c r="N43" s="617"/>
      <c r="O43" s="617"/>
      <c r="P43" s="617"/>
      <c r="Q43" s="617"/>
      <c r="R43" s="618"/>
      <c r="U43" s="283" t="s">
        <v>952</v>
      </c>
      <c r="V43" s="284"/>
      <c r="W43" s="285"/>
      <c r="X43" s="410"/>
      <c r="Y43" s="287"/>
      <c r="Z43" s="287"/>
      <c r="AA43" s="287"/>
      <c r="AB43" s="287"/>
      <c r="AC43" s="287"/>
      <c r="AD43" s="287"/>
      <c r="AE43" s="285" t="s">
        <v>88</v>
      </c>
      <c r="AF43" s="288" t="s">
        <v>866</v>
      </c>
      <c r="DG43" s="1"/>
      <c r="DH43" s="1"/>
      <c r="DI43" s="1"/>
      <c r="DJ43" s="1"/>
      <c r="DK43" s="1"/>
      <c r="DL43" s="1"/>
      <c r="DM43" s="1"/>
      <c r="DN43" s="1"/>
      <c r="DO43" s="1"/>
      <c r="DP43" s="1"/>
      <c r="DQ43" s="1"/>
      <c r="DR43" s="1"/>
    </row>
    <row r="44" spans="1:122" ht="15.6" customHeight="1" x14ac:dyDescent="0.15">
      <c r="B44" s="616"/>
      <c r="C44" s="617"/>
      <c r="D44" s="617"/>
      <c r="E44" s="617"/>
      <c r="F44" s="617"/>
      <c r="G44" s="617"/>
      <c r="H44" s="617"/>
      <c r="I44" s="617"/>
      <c r="J44" s="617"/>
      <c r="K44" s="617"/>
      <c r="L44" s="617"/>
      <c r="M44" s="617"/>
      <c r="N44" s="617"/>
      <c r="O44" s="617"/>
      <c r="P44" s="617"/>
      <c r="Q44" s="617"/>
      <c r="R44" s="618"/>
      <c r="U44" s="289" t="s">
        <v>851</v>
      </c>
      <c r="V44" s="290"/>
      <c r="AB44" s="22" t="s">
        <v>113</v>
      </c>
      <c r="AE44" s="396" t="e">
        <f>IF(AA33=0,W35,(W35+AA35)/2)</f>
        <v>#DIV/0!</v>
      </c>
      <c r="AF44" s="423" t="e">
        <f>IF(AE44=0,"-",IF(AE44&lt;Lists!E15,"0",IF(AE44&lt;Lists!I15,1,IF(AE44&lt;Lists!K15,2,IF(AE44&lt;Lists!M15,3,4)))))</f>
        <v>#DIV/0!</v>
      </c>
      <c r="DG44" s="1"/>
      <c r="DH44" s="1"/>
      <c r="DI44" s="1"/>
      <c r="DJ44" s="1"/>
      <c r="DK44" s="1"/>
      <c r="DL44" s="1"/>
      <c r="DM44" s="1"/>
      <c r="DN44" s="1"/>
      <c r="DO44" s="1"/>
      <c r="DP44" s="1"/>
      <c r="DQ44" s="1"/>
      <c r="DR44" s="1"/>
    </row>
    <row r="45" spans="1:122" ht="15.6" customHeight="1" x14ac:dyDescent="0.15">
      <c r="B45" s="616"/>
      <c r="C45" s="617"/>
      <c r="D45" s="617"/>
      <c r="E45" s="617"/>
      <c r="F45" s="617"/>
      <c r="G45" s="617"/>
      <c r="H45" s="617"/>
      <c r="I45" s="617"/>
      <c r="J45" s="617"/>
      <c r="K45" s="617"/>
      <c r="L45" s="617"/>
      <c r="M45" s="617"/>
      <c r="N45" s="617"/>
      <c r="O45" s="617"/>
      <c r="P45" s="617"/>
      <c r="Q45" s="617"/>
      <c r="R45" s="618"/>
      <c r="U45" s="289" t="s">
        <v>958</v>
      </c>
      <c r="V45" s="290"/>
      <c r="AB45" s="22" t="s">
        <v>959</v>
      </c>
      <c r="AE45" s="403" t="e">
        <f>AP30*'General Information'!L22/(AP32*AP33*1000)</f>
        <v>#DIV/0!</v>
      </c>
      <c r="AF45" s="424" t="e">
        <f>IF(AE45&gt;Lists!E16,"0",IF(AE45&gt;Lists!I16,1,IF(AE45&gt;Lists!K16,2,IF(AE45&gt;Lists!M16,3,4))))</f>
        <v>#DIV/0!</v>
      </c>
    </row>
    <row r="46" spans="1:122" ht="15.6" customHeight="1" x14ac:dyDescent="0.15">
      <c r="B46" s="616"/>
      <c r="C46" s="617"/>
      <c r="D46" s="617"/>
      <c r="E46" s="617"/>
      <c r="F46" s="617"/>
      <c r="G46" s="617"/>
      <c r="H46" s="617"/>
      <c r="I46" s="617"/>
      <c r="J46" s="617"/>
      <c r="K46" s="617"/>
      <c r="L46" s="617"/>
      <c r="M46" s="617"/>
      <c r="N46" s="617"/>
      <c r="O46" s="617"/>
      <c r="P46" s="617"/>
      <c r="Q46" s="617"/>
      <c r="R46" s="618"/>
      <c r="U46" s="289" t="s">
        <v>854</v>
      </c>
      <c r="V46" s="290"/>
      <c r="AB46" s="22" t="s">
        <v>960</v>
      </c>
      <c r="AE46" s="402" t="e">
        <f>IF(W42=3,IF(AA33=0,1000000/'General Information'!L22*AA23/(W35*W30),1000000/'General Information'!L22*(AA23/(W35*W30)+AI23/(AA35*AA30))/2),IF(W42=1,IF(AA33=0,1000000/'General Information'!L22*W70/(W35*W30),1000000/'General Information'!L22*(W70/(W35*W30)+AA70/(AA35*AA30))/2),IF(AA33=0,1000000/'General Information'!L22*W74/(W35*W30),1000000/'General Information'!L22*(W74/(W35*W30)+AA74/(AA35*AA30))/2)))</f>
        <v>#DIV/0!</v>
      </c>
      <c r="AF46" s="424" t="e">
        <f xml:space="preserve"> IF(AE46&gt;Lists!E17,"0",IF(AE46&gt;Lists!I17,1,IF(AE46&gt;Lists!K17,2,IF(AE46&gt;Lists!M17,3,4))))</f>
        <v>#DIV/0!</v>
      </c>
    </row>
    <row r="47" spans="1:122" ht="15.6" customHeight="1" x14ac:dyDescent="0.15">
      <c r="B47" s="616"/>
      <c r="C47" s="617"/>
      <c r="D47" s="617"/>
      <c r="E47" s="617"/>
      <c r="F47" s="617"/>
      <c r="G47" s="617"/>
      <c r="H47" s="617"/>
      <c r="I47" s="617"/>
      <c r="J47" s="617"/>
      <c r="K47" s="617"/>
      <c r="L47" s="617"/>
      <c r="M47" s="617"/>
      <c r="N47" s="617"/>
      <c r="O47" s="617"/>
      <c r="P47" s="617"/>
      <c r="Q47" s="617"/>
      <c r="R47" s="618"/>
      <c r="U47" s="289" t="s">
        <v>856</v>
      </c>
      <c r="V47" s="290"/>
      <c r="AB47" s="22" t="s">
        <v>961</v>
      </c>
      <c r="AE47" s="403" t="e">
        <f>IF(W42=3,AP23/(AP33*AP32)*1000,IF(W42=1,AE70/(AP33*AP32)*1000,AE74/(AP33*AP32)*1000))</f>
        <v>#DIV/0!</v>
      </c>
      <c r="AF47" s="424" t="e">
        <f>IF(AE47&gt;Lists!E18,"0",IF(AE47&gt;Lists!I18,1,IF(AE47&gt;Lists!K18,2,IF(AE47&gt;Lists!M18,3,4))))</f>
        <v>#DIV/0!</v>
      </c>
    </row>
    <row r="48" spans="1:122" ht="15.6" customHeight="1" x14ac:dyDescent="0.15">
      <c r="B48" s="613"/>
      <c r="C48" s="614"/>
      <c r="D48" s="614"/>
      <c r="E48" s="614"/>
      <c r="F48" s="614"/>
      <c r="G48" s="614"/>
      <c r="H48" s="614"/>
      <c r="I48" s="614"/>
      <c r="J48" s="614"/>
      <c r="K48" s="614"/>
      <c r="L48" s="614"/>
      <c r="M48" s="614"/>
      <c r="N48" s="614"/>
      <c r="O48" s="614"/>
      <c r="P48" s="614"/>
      <c r="Q48" s="614"/>
      <c r="R48" s="615"/>
      <c r="U48" s="289" t="s">
        <v>858</v>
      </c>
      <c r="V48" s="290"/>
      <c r="AB48" s="22" t="s">
        <v>962</v>
      </c>
      <c r="AE48" s="404" t="e">
        <f>IF(W42=3,IF(AA33=0,10^9/'General Information'!L22*AA24/(W35*W30),10^9/'General Information'!L22*(AA24/(W35*W30)+AI24/(AA35*AA30))/2),IF(W42=1,IF(AA33=0,10^9/'General Information'!L22*W71/(W35*W30),10^9/'General Information'!L22*(W71/(W35*W30)+AA71/(AA35*AA30))/2),IF(AA33=0,10^9/'General Information'!L22*W75/(W35*W30),10^9/'General Information'!L22*(W75/(W35*W30)+AA75/(AA35*AA30))/2)))</f>
        <v>#DIV/0!</v>
      </c>
      <c r="AF48" s="424" t="e">
        <f>IF(AE48&gt;Lists!E19,"0",IF(AE48&gt;Lists!I19,1,IF(AE48&gt;Lists!K19,2,IF(AE48&gt;Lists!M19,3,4))))</f>
        <v>#DIV/0!</v>
      </c>
    </row>
    <row r="49" spans="2:35" ht="15.6" customHeight="1" x14ac:dyDescent="0.15">
      <c r="C49" s="1"/>
      <c r="H49" s="1"/>
      <c r="I49" s="1"/>
      <c r="J49" s="1"/>
      <c r="K49" s="1"/>
      <c r="L49" s="1"/>
      <c r="M49" s="1"/>
      <c r="N49" s="1"/>
      <c r="O49" s="1"/>
      <c r="P49" s="1"/>
      <c r="Q49" s="1"/>
      <c r="R49" s="1"/>
      <c r="U49" s="289" t="s">
        <v>860</v>
      </c>
      <c r="V49" s="290"/>
      <c r="AB49" s="22" t="s">
        <v>963</v>
      </c>
      <c r="AE49" s="397" t="e">
        <f>IF(W42=3,AP24/(AP33*AP32)*1000000,IF(W42=1,AE71/(AP33*AP32)*1000000,AE75/(AP33*AP32)*1000000))</f>
        <v>#DIV/0!</v>
      </c>
      <c r="AF49" s="424" t="e">
        <f>IF(AE49&gt;Lists!E20,"0",IF(AE49&gt;Lists!I20,1,IF(AE49&gt;Lists!K20,2,IF(AE49&gt;Lists!M20,3,4))))</f>
        <v>#DIV/0!</v>
      </c>
    </row>
    <row r="50" spans="2:35" ht="15.6" customHeight="1" x14ac:dyDescent="0.15">
      <c r="B50" s="619" t="s">
        <v>802</v>
      </c>
      <c r="C50" s="620"/>
      <c r="D50" s="620"/>
      <c r="E50" s="620"/>
      <c r="F50" s="620"/>
      <c r="G50" s="620"/>
      <c r="H50" s="620"/>
      <c r="I50" s="620"/>
      <c r="J50" s="620"/>
      <c r="K50" s="620"/>
      <c r="L50" s="620"/>
      <c r="M50" s="620"/>
      <c r="N50" s="620"/>
      <c r="O50" s="620"/>
      <c r="P50" s="620"/>
      <c r="Q50" s="620"/>
      <c r="R50" s="621"/>
      <c r="U50" s="289" t="s">
        <v>879</v>
      </c>
      <c r="V50" s="290"/>
      <c r="AB50" s="22" t="s">
        <v>154</v>
      </c>
      <c r="AE50" s="397" t="e">
        <f>IF(W42=3,IF(IF(AA33=0,AA23/W33,(AA23/W33+AI23/AA33)/2)&lt;(AP23/AP33),AP23/AP33,IF(AA33=0,AA23/W33,(AA23/W33+AI23/AA33)/2)),IF(W42=1,IF(IF(AA33=0,W70/W33,(W70/W33+AA70/AA33)/2)&lt;(AE70/AP33),AE70/AP33,IF(AA33=0,W70/W33,(W70/W33+AA70/AA33)/2)),IF(IF(AA33=0,W74/W33,(W74/W33+AA74/AA33)/2)&lt;(AE74/AP33),AE74/AP33,IF(AA33=0,W74/W33,(W74/W33+AA74/AA33)/2))))</f>
        <v>#DIV/0!</v>
      </c>
      <c r="AF50" s="424" t="e">
        <f>IF(AE50&gt;Lists!E21,"0",IF(AE50&gt;Lists!I21,1,IF(AE50&gt;Lists!K21,2,IF(AE50&gt;Lists!M21,3,4))))</f>
        <v>#DIV/0!</v>
      </c>
    </row>
    <row r="51" spans="2:35" ht="15.6" customHeight="1" thickBot="1" x14ac:dyDescent="0.2">
      <c r="B51" s="616"/>
      <c r="C51" s="617"/>
      <c r="D51" s="617"/>
      <c r="E51" s="617"/>
      <c r="F51" s="617"/>
      <c r="G51" s="617"/>
      <c r="H51" s="617"/>
      <c r="I51" s="617"/>
      <c r="J51" s="617"/>
      <c r="K51" s="617"/>
      <c r="L51" s="617"/>
      <c r="M51" s="617"/>
      <c r="N51" s="617"/>
      <c r="O51" s="617"/>
      <c r="P51" s="617"/>
      <c r="Q51" s="617"/>
      <c r="R51" s="618"/>
      <c r="U51" s="291" t="s">
        <v>878</v>
      </c>
      <c r="V51" s="292"/>
      <c r="W51" s="269"/>
      <c r="X51" s="269"/>
      <c r="Y51" s="269"/>
      <c r="Z51" s="269"/>
      <c r="AA51" s="269"/>
      <c r="AB51" s="270" t="s">
        <v>864</v>
      </c>
      <c r="AC51" s="269"/>
      <c r="AD51" s="269"/>
      <c r="AE51" s="405" t="e">
        <f>IF(W42=3,IF(IF(AA33=0,AA24/W33,(AA24/W33+AI24/AA33)/2)&lt;(AP24/AP33),AP24/AP33*1000,IF(AA33=0,AA24/W33,(AA24/W33+AI24/AA33)/2)*1000),IF(W42=1,IF(IF(AA33=0,W71/W33,(W71/W33+AA71/AA33)/2)&lt;(AE71/AP33),AE71/AP33*1000,IF(AA33=0,W71/W33,(W71/W33+AA71/AA33)/2)*1000),IF(IF(AA33=0,W75/W33,(W75/W33+AA75/AA33)/2)&lt;(AE75/AP33),AE75/AP33*1000,IF(AA33=0,W75/W33,(W75/W33+AA75/AA33)/2)*1000)))</f>
        <v>#DIV/0!</v>
      </c>
      <c r="AF51" s="425" t="e">
        <f>IF(AE51&gt;Lists!E22,"0",IF(AE51&gt;Lists!I22,1,IF(AE51&gt;Lists!K22,2,IF(AE51&gt;Lists!M22,3,4))))</f>
        <v>#DIV/0!</v>
      </c>
      <c r="AI51" s="13"/>
    </row>
    <row r="52" spans="2:35" ht="15.6" customHeight="1" thickTop="1" thickBot="1" x14ac:dyDescent="0.2">
      <c r="B52" s="616"/>
      <c r="C52" s="617"/>
      <c r="D52" s="617"/>
      <c r="E52" s="617"/>
      <c r="F52" s="617"/>
      <c r="G52" s="617"/>
      <c r="H52" s="617"/>
      <c r="I52" s="617"/>
      <c r="J52" s="617"/>
      <c r="K52" s="617"/>
      <c r="L52" s="617"/>
      <c r="M52" s="617"/>
      <c r="N52" s="617"/>
      <c r="O52" s="617"/>
      <c r="P52" s="617"/>
      <c r="Q52" s="617"/>
      <c r="R52" s="618"/>
      <c r="U52" s="118" t="str">
        <f>"TEST #10 "&amp;D7</f>
        <v xml:space="preserve">TEST #10 </v>
      </c>
      <c r="V52" s="86" t="s">
        <v>804</v>
      </c>
      <c r="AI52" s="13"/>
    </row>
    <row r="53" spans="2:35" ht="15.6" customHeight="1" thickTop="1" x14ac:dyDescent="0.15">
      <c r="B53" s="616"/>
      <c r="C53" s="617"/>
      <c r="D53" s="617"/>
      <c r="E53" s="617"/>
      <c r="F53" s="617"/>
      <c r="G53" s="617"/>
      <c r="H53" s="617"/>
      <c r="I53" s="617"/>
      <c r="J53" s="617"/>
      <c r="K53" s="617"/>
      <c r="L53" s="617"/>
      <c r="M53" s="617"/>
      <c r="N53" s="617"/>
      <c r="O53" s="617"/>
      <c r="P53" s="617"/>
      <c r="Q53" s="617"/>
      <c r="R53" s="618"/>
      <c r="T53" s="7"/>
      <c r="U53" s="8"/>
      <c r="V53" s="8"/>
      <c r="W53" s="260" t="s">
        <v>110</v>
      </c>
      <c r="X53" s="8"/>
      <c r="Y53" s="261"/>
      <c r="Z53" s="8"/>
      <c r="AA53" s="260" t="s">
        <v>111</v>
      </c>
      <c r="AB53" s="8"/>
      <c r="AC53" s="261"/>
      <c r="AD53" s="8"/>
      <c r="AE53" s="260" t="s">
        <v>2</v>
      </c>
      <c r="AF53" s="8"/>
      <c r="AG53" s="146"/>
      <c r="AH53" s="146"/>
      <c r="AI53" s="271"/>
    </row>
    <row r="54" spans="2:35" ht="15.6" customHeight="1" x14ac:dyDescent="0.15">
      <c r="B54" s="616"/>
      <c r="C54" s="617"/>
      <c r="D54" s="617"/>
      <c r="E54" s="617"/>
      <c r="F54" s="617"/>
      <c r="G54" s="617"/>
      <c r="H54" s="617"/>
      <c r="I54" s="617"/>
      <c r="J54" s="617"/>
      <c r="K54" s="617"/>
      <c r="L54" s="617"/>
      <c r="M54" s="617"/>
      <c r="N54" s="617"/>
      <c r="O54" s="617"/>
      <c r="P54" s="617"/>
      <c r="Q54" s="617"/>
      <c r="R54" s="618"/>
      <c r="T54" s="10"/>
      <c r="U54" s="88" t="s">
        <v>116</v>
      </c>
      <c r="V54" s="89" t="s">
        <v>9</v>
      </c>
      <c r="W54" s="89" t="s">
        <v>10</v>
      </c>
      <c r="X54" s="89" t="s">
        <v>11</v>
      </c>
      <c r="Y54" s="46"/>
      <c r="Z54" s="13"/>
      <c r="AA54" s="89" t="s">
        <v>10</v>
      </c>
      <c r="AB54" s="89" t="s">
        <v>11</v>
      </c>
      <c r="AC54" s="46"/>
      <c r="AD54" s="13"/>
      <c r="AE54" s="89" t="s">
        <v>10</v>
      </c>
      <c r="AF54" s="89" t="s">
        <v>11</v>
      </c>
      <c r="AG54" s="71"/>
      <c r="AH54" s="71"/>
      <c r="AI54" s="271"/>
    </row>
    <row r="55" spans="2:35" ht="15.6" customHeight="1" x14ac:dyDescent="0.3">
      <c r="B55" s="616"/>
      <c r="C55" s="617"/>
      <c r="D55" s="617"/>
      <c r="E55" s="617"/>
      <c r="F55" s="617"/>
      <c r="G55" s="617"/>
      <c r="H55" s="617"/>
      <c r="I55" s="617"/>
      <c r="J55" s="617"/>
      <c r="K55" s="617"/>
      <c r="L55" s="617"/>
      <c r="M55" s="617"/>
      <c r="N55" s="617"/>
      <c r="O55" s="617"/>
      <c r="P55" s="617"/>
      <c r="Q55" s="617"/>
      <c r="R55" s="618"/>
      <c r="T55" s="10"/>
      <c r="U55" s="91" t="s">
        <v>805</v>
      </c>
      <c r="V55" s="92" t="s">
        <v>806</v>
      </c>
      <c r="W55" s="427">
        <f>'General Information'!$C$24*W33/60</f>
        <v>0</v>
      </c>
      <c r="X55" s="350" t="s">
        <v>884</v>
      </c>
      <c r="Y55" s="57"/>
      <c r="Z55" s="61"/>
      <c r="AA55" s="426">
        <f>'General Information'!$C$24*AA33/60</f>
        <v>0</v>
      </c>
      <c r="AB55" s="351" t="s">
        <v>885</v>
      </c>
      <c r="AC55" s="46"/>
      <c r="AD55" s="13"/>
      <c r="AE55" s="426">
        <f>'General Information'!$C$24*AP33/60</f>
        <v>0</v>
      </c>
      <c r="AF55" s="351" t="s">
        <v>886</v>
      </c>
      <c r="AG55" s="71"/>
      <c r="AH55" s="71"/>
      <c r="AI55" s="271"/>
    </row>
    <row r="56" spans="2:35" ht="15.6" customHeight="1" x14ac:dyDescent="0.3">
      <c r="B56" s="616"/>
      <c r="C56" s="617"/>
      <c r="D56" s="617"/>
      <c r="E56" s="617"/>
      <c r="F56" s="617"/>
      <c r="G56" s="617"/>
      <c r="H56" s="617"/>
      <c r="I56" s="617"/>
      <c r="J56" s="617"/>
      <c r="K56" s="617"/>
      <c r="L56" s="617"/>
      <c r="M56" s="617"/>
      <c r="N56" s="617"/>
      <c r="O56" s="617"/>
      <c r="P56" s="617"/>
      <c r="Q56" s="617"/>
      <c r="R56" s="618"/>
      <c r="T56" s="10"/>
      <c r="U56" s="91" t="s">
        <v>814</v>
      </c>
      <c r="V56" s="92" t="s">
        <v>781</v>
      </c>
      <c r="W56" s="421" t="e">
        <f>((AA18-$N21)+(AA19-$N22)+(AA20-$N23)/15/('General Information'!$C$22/0.008314/(AA21+273.15)))</f>
        <v>#DIV/0!</v>
      </c>
      <c r="X56" s="350" t="s">
        <v>887</v>
      </c>
      <c r="Y56" s="57"/>
      <c r="Z56" s="61"/>
      <c r="AA56" s="429" t="e">
        <f>((AI18-$N21)+(AI19-$N22)+(AI20-$N23)/15/('General Information'!$C$22/0.008314/(AI21+273.15)))</f>
        <v>#DIV/0!</v>
      </c>
      <c r="AB56" s="351" t="s">
        <v>888</v>
      </c>
      <c r="AC56" s="57"/>
      <c r="AD56" s="13"/>
      <c r="AE56" s="429" t="e">
        <f>((AP18-$N21)+(AP19-$N22)+(AP20-$N23)/15/('General Information'!$C$22/0.008314/(AP21+273.15)))</f>
        <v>#DIV/0!</v>
      </c>
      <c r="AF56" s="351" t="s">
        <v>889</v>
      </c>
      <c r="AG56" s="71"/>
      <c r="AH56" s="71"/>
      <c r="AI56" s="271"/>
    </row>
    <row r="57" spans="2:35" ht="15.6" customHeight="1" x14ac:dyDescent="0.3">
      <c r="B57" s="616"/>
      <c r="C57" s="617"/>
      <c r="D57" s="617"/>
      <c r="E57" s="617"/>
      <c r="F57" s="617"/>
      <c r="G57" s="617"/>
      <c r="H57" s="617"/>
      <c r="I57" s="617"/>
      <c r="J57" s="617"/>
      <c r="K57" s="617"/>
      <c r="L57" s="617"/>
      <c r="M57" s="617"/>
      <c r="N57" s="617"/>
      <c r="O57" s="617"/>
      <c r="P57" s="617"/>
      <c r="Q57" s="617"/>
      <c r="R57" s="618"/>
      <c r="T57" s="10"/>
      <c r="U57" s="91" t="s">
        <v>807</v>
      </c>
      <c r="V57" s="92" t="s">
        <v>808</v>
      </c>
      <c r="W57" s="395" t="e">
        <f>'General Information'!$C$22/0.008314/(AA21+273.15)*W56*0.000001*12</f>
        <v>#DIV/0!</v>
      </c>
      <c r="X57" s="350" t="s">
        <v>890</v>
      </c>
      <c r="Y57" s="57"/>
      <c r="Z57" s="61"/>
      <c r="AA57" s="392" t="e">
        <f>'General Information'!$C$22/0.008314/(AI21+273.15)*AA56*0.000001*12</f>
        <v>#DIV/0!</v>
      </c>
      <c r="AB57" s="351" t="s">
        <v>891</v>
      </c>
      <c r="AC57" s="57"/>
      <c r="AD57" s="13"/>
      <c r="AE57" s="392" t="e">
        <f>'General Information'!$C$22/0.008314/(AP21+273.15)*AE56*0.000001*12</f>
        <v>#DIV/0!</v>
      </c>
      <c r="AF57" s="351" t="s">
        <v>892</v>
      </c>
      <c r="AG57" s="71"/>
      <c r="AH57" s="71"/>
      <c r="AI57" s="271"/>
    </row>
    <row r="58" spans="2:35" ht="15.6" customHeight="1" x14ac:dyDescent="0.15">
      <c r="B58" s="616"/>
      <c r="C58" s="617"/>
      <c r="D58" s="617"/>
      <c r="E58" s="617"/>
      <c r="F58" s="617"/>
      <c r="G58" s="617"/>
      <c r="H58" s="617"/>
      <c r="I58" s="617"/>
      <c r="J58" s="617"/>
      <c r="K58" s="617"/>
      <c r="L58" s="617"/>
      <c r="M58" s="617"/>
      <c r="N58" s="617"/>
      <c r="O58" s="617"/>
      <c r="P58" s="617"/>
      <c r="Q58" s="617"/>
      <c r="R58" s="618"/>
      <c r="T58" s="10"/>
      <c r="U58" s="91" t="s">
        <v>877</v>
      </c>
      <c r="V58" s="92" t="s">
        <v>20</v>
      </c>
      <c r="W58" s="93" t="e">
        <f>W57*W55/fuelFracC</f>
        <v>#DIV/0!</v>
      </c>
      <c r="X58" s="351" t="s">
        <v>893</v>
      </c>
      <c r="Y58" s="57"/>
      <c r="Z58" s="61"/>
      <c r="AA58" s="392" t="e">
        <f>AA57*AA55/fuelFracC</f>
        <v>#DIV/0!</v>
      </c>
      <c r="AB58" s="351" t="s">
        <v>894</v>
      </c>
      <c r="AC58" s="57"/>
      <c r="AD58" s="13"/>
      <c r="AE58" s="392" t="e">
        <f>AE57*AE55/fuelFracC</f>
        <v>#DIV/0!</v>
      </c>
      <c r="AF58" s="351" t="s">
        <v>895</v>
      </c>
      <c r="AG58" s="13"/>
      <c r="AH58" s="13"/>
      <c r="AI58" s="271"/>
    </row>
    <row r="59" spans="2:35" ht="15.6" customHeight="1" x14ac:dyDescent="0.15">
      <c r="B59" s="613"/>
      <c r="C59" s="614"/>
      <c r="D59" s="614"/>
      <c r="E59" s="614"/>
      <c r="F59" s="614"/>
      <c r="G59" s="614"/>
      <c r="H59" s="614"/>
      <c r="I59" s="614"/>
      <c r="J59" s="614"/>
      <c r="K59" s="614"/>
      <c r="L59" s="614"/>
      <c r="M59" s="614"/>
      <c r="N59" s="614"/>
      <c r="O59" s="614"/>
      <c r="P59" s="614"/>
      <c r="Q59" s="614"/>
      <c r="R59" s="615"/>
      <c r="T59" s="10"/>
      <c r="U59" s="13" t="s">
        <v>824</v>
      </c>
      <c r="V59" s="22" t="s">
        <v>113</v>
      </c>
      <c r="W59" s="431" t="e">
        <f>W58/((1-$E$18)*(W28)-W29*charFracC/'General Information'!L23)</f>
        <v>#DIV/0!</v>
      </c>
      <c r="X59" s="351" t="s">
        <v>896</v>
      </c>
      <c r="Y59" s="334"/>
      <c r="Z59" s="335"/>
      <c r="AA59" s="430" t="e">
        <f>AA58/((1-$E$18)*(AA28)-AA29*charFracC/'General Information'!L23)</f>
        <v>#DIV/0!</v>
      </c>
      <c r="AB59" s="351" t="s">
        <v>897</v>
      </c>
      <c r="AC59" s="334"/>
      <c r="AD59" s="336"/>
      <c r="AE59" s="430" t="e">
        <f>AE58/((1-$E$18)*(AP28)-AP29*charFracC/'General Information'!L23)</f>
        <v>#DIV/0!</v>
      </c>
      <c r="AF59" s="351" t="s">
        <v>898</v>
      </c>
      <c r="AG59" s="13"/>
      <c r="AH59" s="13"/>
      <c r="AI59" s="271"/>
    </row>
    <row r="60" spans="2:35" ht="15.6" customHeight="1" x14ac:dyDescent="0.15">
      <c r="T60" s="10"/>
      <c r="U60" s="262" t="s">
        <v>813</v>
      </c>
      <c r="V60" s="13"/>
      <c r="W60" s="312"/>
      <c r="X60" s="56"/>
      <c r="Y60" s="57"/>
      <c r="Z60" s="61"/>
      <c r="AA60" s="2"/>
      <c r="AB60" s="22"/>
      <c r="AC60" s="57"/>
      <c r="AD60" s="13"/>
      <c r="AE60" s="312"/>
      <c r="AF60" s="22"/>
      <c r="AG60" s="22"/>
      <c r="AH60" s="13"/>
      <c r="AI60" s="271"/>
    </row>
    <row r="61" spans="2:35" ht="15.6" customHeight="1" x14ac:dyDescent="0.15">
      <c r="B61" s="619" t="s">
        <v>803</v>
      </c>
      <c r="C61" s="620"/>
      <c r="D61" s="620"/>
      <c r="E61" s="620"/>
      <c r="F61" s="620"/>
      <c r="G61" s="620"/>
      <c r="H61" s="620"/>
      <c r="I61" s="620"/>
      <c r="J61" s="620"/>
      <c r="K61" s="620"/>
      <c r="L61" s="620"/>
      <c r="M61" s="620"/>
      <c r="N61" s="620"/>
      <c r="O61" s="620"/>
      <c r="P61" s="620"/>
      <c r="Q61" s="620"/>
      <c r="R61" s="621"/>
      <c r="T61" s="10"/>
      <c r="U61" s="13" t="s">
        <v>812</v>
      </c>
      <c r="V61" s="22" t="s">
        <v>159</v>
      </c>
      <c r="W61" s="432" t="e">
        <f>IF($W$42=3,AA22/W$32*1000,IF($W$42=1,W69/W$32*1000,W73/W$32*1000))</f>
        <v>#DIV/0!</v>
      </c>
      <c r="X61" s="356" t="s">
        <v>919</v>
      </c>
      <c r="Y61" s="329"/>
      <c r="Z61" s="330"/>
      <c r="AA61" s="432" t="e">
        <f>IF($W$42=3,AI22/AA$32*1000,IF($W$42=1,AA69/AA$32*1000,AA73/AA$32*1000))</f>
        <v>#DIV/0!</v>
      </c>
      <c r="AB61" s="356" t="s">
        <v>920</v>
      </c>
      <c r="AC61" s="329"/>
      <c r="AD61" s="357"/>
      <c r="AE61" s="432" t="e">
        <f>IF($W$42=3,AP22/AP$32*1000,IF($W$42=1,AE69/AP$32*1000,AE73/AP$32*1000))</f>
        <v>#DIV/0!</v>
      </c>
      <c r="AF61" s="351" t="s">
        <v>921</v>
      </c>
      <c r="AG61" s="22"/>
      <c r="AH61" s="13"/>
      <c r="AI61" s="271"/>
    </row>
    <row r="62" spans="2:35" ht="15.6" customHeight="1" x14ac:dyDescent="0.15">
      <c r="B62" s="616"/>
      <c r="C62" s="617"/>
      <c r="D62" s="617"/>
      <c r="E62" s="617"/>
      <c r="F62" s="617"/>
      <c r="G62" s="617"/>
      <c r="H62" s="617"/>
      <c r="I62" s="617"/>
      <c r="J62" s="617"/>
      <c r="K62" s="617"/>
      <c r="L62" s="617"/>
      <c r="M62" s="617"/>
      <c r="N62" s="617"/>
      <c r="O62" s="617"/>
      <c r="P62" s="617"/>
      <c r="Q62" s="617"/>
      <c r="R62" s="618"/>
      <c r="T62" s="10"/>
      <c r="U62" s="13" t="s">
        <v>810</v>
      </c>
      <c r="V62" s="22" t="s">
        <v>159</v>
      </c>
      <c r="W62" s="406" t="e">
        <f>IF($W$42=3,AA23/W$32*1000,IF($W$42=1,W70/W$32*1000,W74/W$32*1000))</f>
        <v>#DIV/0!</v>
      </c>
      <c r="X62" s="358" t="s">
        <v>922</v>
      </c>
      <c r="Y62" s="337"/>
      <c r="Z62" s="338"/>
      <c r="AA62" s="406" t="e">
        <f>IF($W$42=3,AI23/AA$32*1000,IF($W$42=1,AA70/AA$32*1000,AA74/AA$32*1000))</f>
        <v>#DIV/0!</v>
      </c>
      <c r="AB62" s="358" t="s">
        <v>923</v>
      </c>
      <c r="AC62" s="337"/>
      <c r="AD62" s="54"/>
      <c r="AE62" s="406" t="e">
        <f>IF($W$42=3,AP23/AP$32*1000,IF($W$42=1,AE70/AP$32*1000,AE74/AP$32*1000))</f>
        <v>#DIV/0!</v>
      </c>
      <c r="AF62" s="351" t="s">
        <v>924</v>
      </c>
      <c r="AG62" s="22"/>
      <c r="AH62" s="13"/>
      <c r="AI62" s="271"/>
    </row>
    <row r="63" spans="2:35" ht="15.6" customHeight="1" x14ac:dyDescent="0.15">
      <c r="B63" s="616"/>
      <c r="C63" s="617"/>
      <c r="D63" s="617"/>
      <c r="E63" s="617"/>
      <c r="F63" s="617"/>
      <c r="G63" s="617"/>
      <c r="H63" s="617"/>
      <c r="I63" s="617"/>
      <c r="J63" s="617"/>
      <c r="K63" s="617"/>
      <c r="L63" s="617"/>
      <c r="M63" s="617"/>
      <c r="N63" s="617"/>
      <c r="O63" s="617"/>
      <c r="P63" s="617"/>
      <c r="Q63" s="617"/>
      <c r="R63" s="618"/>
      <c r="T63" s="10"/>
      <c r="U63" s="13" t="s">
        <v>811</v>
      </c>
      <c r="V63" s="22" t="s">
        <v>159</v>
      </c>
      <c r="W63" s="407" t="e">
        <f>IF($W$42=3,AA24/W$32*1000,IF($W$42=1,W71/W$32*1000,W75/W$32*1000))</f>
        <v>#DIV/0!</v>
      </c>
      <c r="X63" s="359" t="s">
        <v>925</v>
      </c>
      <c r="Y63" s="310"/>
      <c r="Z63" s="311"/>
      <c r="AA63" s="407" t="e">
        <f>IF($W$42=3,AI24/AA$32*1000,IF($W$42=1,AA71/AA$32*1000,AA75/AA$32*1000))</f>
        <v>#DIV/0!</v>
      </c>
      <c r="AB63" s="359" t="s">
        <v>926</v>
      </c>
      <c r="AC63" s="310"/>
      <c r="AD63" s="309"/>
      <c r="AE63" s="407" t="e">
        <f>IF($W$42=3,AP24/AP$32*1000,IF($W$42=1,AE71/AP$32*1000,AE75/AP$32*1000))</f>
        <v>#DIV/0!</v>
      </c>
      <c r="AF63" s="351" t="s">
        <v>927</v>
      </c>
      <c r="AG63" s="22"/>
      <c r="AH63" s="13"/>
      <c r="AI63" s="271"/>
    </row>
    <row r="64" spans="2:35" ht="15.6" customHeight="1" x14ac:dyDescent="0.15">
      <c r="B64" s="616"/>
      <c r="C64" s="617"/>
      <c r="D64" s="617"/>
      <c r="E64" s="617"/>
      <c r="F64" s="617"/>
      <c r="G64" s="617"/>
      <c r="H64" s="617"/>
      <c r="I64" s="617"/>
      <c r="J64" s="617"/>
      <c r="K64" s="617"/>
      <c r="L64" s="617"/>
      <c r="M64" s="617"/>
      <c r="N64" s="617"/>
      <c r="O64" s="617"/>
      <c r="P64" s="617"/>
      <c r="Q64" s="617"/>
      <c r="R64" s="618"/>
      <c r="T64" s="10"/>
      <c r="U64" s="262" t="s">
        <v>809</v>
      </c>
      <c r="V64" s="13"/>
      <c r="W64" s="2"/>
      <c r="X64" s="22"/>
      <c r="Y64" s="57"/>
      <c r="Z64" s="61"/>
      <c r="AA64" s="312"/>
      <c r="AB64" s="22"/>
      <c r="AC64" s="57"/>
      <c r="AD64" s="13"/>
      <c r="AE64" s="312"/>
      <c r="AF64" s="22"/>
      <c r="AG64" s="13"/>
      <c r="AH64" s="13"/>
      <c r="AI64" s="271"/>
    </row>
    <row r="65" spans="2:38" ht="15.6" customHeight="1" x14ac:dyDescent="0.15">
      <c r="B65" s="616"/>
      <c r="C65" s="617"/>
      <c r="D65" s="617"/>
      <c r="E65" s="617"/>
      <c r="F65" s="617"/>
      <c r="G65" s="617"/>
      <c r="H65" s="617"/>
      <c r="I65" s="617"/>
      <c r="J65" s="617"/>
      <c r="K65" s="617"/>
      <c r="L65" s="617"/>
      <c r="M65" s="617"/>
      <c r="N65" s="617"/>
      <c r="O65" s="617"/>
      <c r="P65" s="617"/>
      <c r="Q65" s="617"/>
      <c r="R65" s="618"/>
      <c r="T65" s="10"/>
      <c r="U65" s="13" t="s">
        <v>812</v>
      </c>
      <c r="V65" s="22" t="s">
        <v>821</v>
      </c>
      <c r="W65" s="93" t="e">
        <f>IF(W42=2,W73/(W28*(1-E18)-W29*charFracC/fuelFracC),IF(W56&gt;0,((AA18-$N21)*44/12)/(W$56/fuelFracC)*1000,0))</f>
        <v>#DIV/0!</v>
      </c>
      <c r="X65" s="351" t="s">
        <v>902</v>
      </c>
      <c r="Y65" s="57"/>
      <c r="Z65" s="61"/>
      <c r="AA65" s="85" t="e">
        <f>IF(W42=2,AA73/(AA28*(1-E18)-AA29*charFracC/fuelFracC),IF(AA56&gt;0,((AI18-$N21)*44/12)/(AA$56/fuelFracC)*1000,0))</f>
        <v>#DIV/0!</v>
      </c>
      <c r="AB65" s="351" t="s">
        <v>903</v>
      </c>
      <c r="AC65" s="57"/>
      <c r="AD65" s="13"/>
      <c r="AE65" s="85" t="e">
        <f>IF(W42=2,AE73/(AP28*(1-E18)-AP29*charFracC/fuelFracC),IF(AE56&gt;0,((AP18-$N21)*44/12)/(AE$56/fuelFracC)*1000,0))</f>
        <v>#DIV/0!</v>
      </c>
      <c r="AF65" s="351" t="s">
        <v>904</v>
      </c>
      <c r="AG65" s="13"/>
      <c r="AH65" s="13"/>
      <c r="AI65" s="271"/>
    </row>
    <row r="66" spans="2:38" ht="15.6" customHeight="1" x14ac:dyDescent="0.15">
      <c r="B66" s="616"/>
      <c r="C66" s="617"/>
      <c r="D66" s="617"/>
      <c r="E66" s="617"/>
      <c r="F66" s="617"/>
      <c r="G66" s="617"/>
      <c r="H66" s="617"/>
      <c r="I66" s="617"/>
      <c r="J66" s="617"/>
      <c r="K66" s="617"/>
      <c r="L66" s="617"/>
      <c r="M66" s="617"/>
      <c r="N66" s="617"/>
      <c r="O66" s="617"/>
      <c r="P66" s="617"/>
      <c r="Q66" s="617"/>
      <c r="R66" s="618"/>
      <c r="T66" s="10"/>
      <c r="U66" s="13" t="s">
        <v>810</v>
      </c>
      <c r="V66" s="22" t="s">
        <v>821</v>
      </c>
      <c r="W66" s="406" t="e">
        <f>IF(W42=2,W74/(W28*(1-E18)-W29*charFracC/fuelFracC),IF(W56&gt;0,((AA19-$N22)*28/12)/(W$56/fuelFracC)*1000,0))</f>
        <v>#DIV/0!</v>
      </c>
      <c r="X66" s="351" t="s">
        <v>899</v>
      </c>
      <c r="Y66" s="325"/>
      <c r="Z66" s="326"/>
      <c r="AA66" s="406" t="e">
        <f>IF(W42=2,AA74/(AA28*(1-E18)-AA29*charFracC/fuelFracC),IF(AA56&gt;0,((AI19-$N22)*28/12)/(AA$56/fuelFracC)*1000,0))</f>
        <v>#DIV/0!</v>
      </c>
      <c r="AB66" s="351" t="s">
        <v>900</v>
      </c>
      <c r="AC66" s="325"/>
      <c r="AD66" s="324"/>
      <c r="AE66" s="406" t="e">
        <f>IF(W42=2,AE74/(AP28*(1-E18)-AP29*charFracC/fuelFracC),IF(AE56&gt;0,((AP19-$N22)*28/12)/(AE$56/fuelFracC)*1000,0))</f>
        <v>#DIV/0!</v>
      </c>
      <c r="AF66" s="351" t="s">
        <v>901</v>
      </c>
      <c r="AG66" s="13"/>
      <c r="AH66" s="13"/>
      <c r="AI66" s="271"/>
      <c r="AL66" s="394"/>
    </row>
    <row r="67" spans="2:38" ht="15.6" customHeight="1" x14ac:dyDescent="0.15">
      <c r="B67" s="616"/>
      <c r="C67" s="617"/>
      <c r="D67" s="617"/>
      <c r="E67" s="617"/>
      <c r="F67" s="617"/>
      <c r="G67" s="617"/>
      <c r="H67" s="617"/>
      <c r="I67" s="617"/>
      <c r="J67" s="617"/>
      <c r="K67" s="617"/>
      <c r="L67" s="617"/>
      <c r="M67" s="617"/>
      <c r="N67" s="617"/>
      <c r="O67" s="617"/>
      <c r="P67" s="617"/>
      <c r="Q67" s="617"/>
      <c r="R67" s="618"/>
      <c r="T67" s="10"/>
      <c r="U67" s="13" t="s">
        <v>811</v>
      </c>
      <c r="V67" s="22" t="s">
        <v>821</v>
      </c>
      <c r="W67" s="408" t="e">
        <f>IF(W42=2,W75/(W28*(1-E18)-W29*charFracC/fuelFracC),IF(W57&gt;0,(AA20-$N23)/(W$57/fuelFracC)*1000/1000000,0))</f>
        <v>#DIV/0!</v>
      </c>
      <c r="X67" s="351" t="s">
        <v>905</v>
      </c>
      <c r="Y67" s="310"/>
      <c r="Z67" s="311"/>
      <c r="AA67" s="407" t="e">
        <f>IF(W42=2,AA75/(AA28*(1-E18)-AA29*charFracC/fuelFracC),IF(AA57&gt;0,(AI20-$N23)/(AA$57/fuelFracC)*1000/1000000,0))</f>
        <v>#DIV/0!</v>
      </c>
      <c r="AB67" s="351" t="s">
        <v>906</v>
      </c>
      <c r="AC67" s="310"/>
      <c r="AD67" s="309"/>
      <c r="AE67" s="407" t="e">
        <f>IF(W42=2,AE75/(AP28*(1-E18)-AP29*charFracC/fuelFracC),IF(AE57&gt;0,(AP20-$N23)/(AE$57/fuelFracC)*1000/1000000,0))</f>
        <v>#DIV/0!</v>
      </c>
      <c r="AF67" s="351" t="s">
        <v>907</v>
      </c>
      <c r="AG67" s="13"/>
      <c r="AH67" s="13"/>
      <c r="AI67" s="271"/>
    </row>
    <row r="68" spans="2:38" ht="15.6" customHeight="1" x14ac:dyDescent="0.15">
      <c r="B68" s="616"/>
      <c r="C68" s="617"/>
      <c r="D68" s="617"/>
      <c r="E68" s="617"/>
      <c r="F68" s="617"/>
      <c r="G68" s="617"/>
      <c r="H68" s="617"/>
      <c r="I68" s="617"/>
      <c r="J68" s="617"/>
      <c r="K68" s="617"/>
      <c r="L68" s="617"/>
      <c r="M68" s="617"/>
      <c r="N68" s="617"/>
      <c r="O68" s="617"/>
      <c r="P68" s="617"/>
      <c r="Q68" s="617"/>
      <c r="R68" s="618"/>
      <c r="T68" s="10"/>
      <c r="U68" s="262" t="s">
        <v>947</v>
      </c>
      <c r="V68" s="13"/>
      <c r="W68" s="2"/>
      <c r="X68" s="22"/>
      <c r="Y68" s="57"/>
      <c r="Z68" s="61"/>
      <c r="AA68" s="312"/>
      <c r="AB68" s="22"/>
      <c r="AC68" s="57"/>
      <c r="AD68" s="13"/>
      <c r="AE68" s="312"/>
      <c r="AF68" s="22"/>
      <c r="AG68" s="13"/>
      <c r="AH68" s="13"/>
      <c r="AI68" s="271"/>
    </row>
    <row r="69" spans="2:38" ht="15.6" customHeight="1" x14ac:dyDescent="0.15">
      <c r="B69" s="616"/>
      <c r="C69" s="617"/>
      <c r="D69" s="617"/>
      <c r="E69" s="617"/>
      <c r="F69" s="617"/>
      <c r="G69" s="617"/>
      <c r="H69" s="617"/>
      <c r="I69" s="617"/>
      <c r="J69" s="617"/>
      <c r="K69" s="617"/>
      <c r="L69" s="617"/>
      <c r="M69" s="617"/>
      <c r="N69" s="617"/>
      <c r="O69" s="617"/>
      <c r="P69" s="617"/>
      <c r="Q69" s="617"/>
      <c r="R69" s="618"/>
      <c r="T69" s="10"/>
      <c r="U69" s="13" t="s">
        <v>812</v>
      </c>
      <c r="V69" s="22" t="s">
        <v>20</v>
      </c>
      <c r="W69" s="93" t="e">
        <f>W65*(W28*(1-$E$18)-W29*charFracC/fuelFracC)/1000</f>
        <v>#DIV/0!</v>
      </c>
      <c r="X69" s="360" t="s">
        <v>914</v>
      </c>
      <c r="Y69" s="361"/>
      <c r="Z69" s="362"/>
      <c r="AA69" s="85" t="e">
        <f>AA65*(AA28*(1-$E$18)-AA29*charFracC/fuelFracC)/1000</f>
        <v>#DIV/0!</v>
      </c>
      <c r="AB69" s="360" t="s">
        <v>915</v>
      </c>
      <c r="AC69" s="361"/>
      <c r="AD69" s="363"/>
      <c r="AE69" s="85" t="e">
        <f>AE65*(AP28*(1-$E$18)-AP29*charFracC/fuelFracC)/1000</f>
        <v>#DIV/0!</v>
      </c>
      <c r="AF69" s="351" t="s">
        <v>916</v>
      </c>
      <c r="AG69" s="13"/>
      <c r="AH69" s="13"/>
      <c r="AI69" s="271"/>
    </row>
    <row r="70" spans="2:38" ht="15.6" customHeight="1" x14ac:dyDescent="0.15">
      <c r="B70" s="613"/>
      <c r="C70" s="614"/>
      <c r="D70" s="614"/>
      <c r="E70" s="614"/>
      <c r="F70" s="614"/>
      <c r="G70" s="614"/>
      <c r="H70" s="614"/>
      <c r="I70" s="614"/>
      <c r="J70" s="614"/>
      <c r="K70" s="614"/>
      <c r="L70" s="614"/>
      <c r="M70" s="614"/>
      <c r="N70" s="614"/>
      <c r="O70" s="614"/>
      <c r="P70" s="614"/>
      <c r="Q70" s="614"/>
      <c r="R70" s="615"/>
      <c r="T70" s="10"/>
      <c r="U70" s="13" t="s">
        <v>810</v>
      </c>
      <c r="V70" s="22" t="s">
        <v>20</v>
      </c>
      <c r="W70" s="401" t="e">
        <f>W66*(W28*(1-$E$18)-W29*charFracC/fuelFracC)/1000</f>
        <v>#DIV/0!</v>
      </c>
      <c r="X70" s="358" t="s">
        <v>911</v>
      </c>
      <c r="Y70" s="337"/>
      <c r="Z70" s="338"/>
      <c r="AA70" s="406" t="e">
        <f>AA66*(AA28*(1-$E$18)-AA29*charFracC/fuelFracC)/1000</f>
        <v>#DIV/0!</v>
      </c>
      <c r="AB70" s="358" t="s">
        <v>912</v>
      </c>
      <c r="AC70" s="337"/>
      <c r="AD70" s="54"/>
      <c r="AE70" s="406" t="e">
        <f>AE66*(AP28*(1-$E$18)-AP29*charFracC/fuelFracC)/1000</f>
        <v>#DIV/0!</v>
      </c>
      <c r="AF70" s="351" t="s">
        <v>913</v>
      </c>
      <c r="AG70" s="13"/>
      <c r="AH70" s="13"/>
      <c r="AI70" s="271"/>
    </row>
    <row r="71" spans="2:38" ht="15.6" customHeight="1" x14ac:dyDescent="0.15">
      <c r="T71" s="10"/>
      <c r="U71" s="13" t="s">
        <v>811</v>
      </c>
      <c r="V71" s="22" t="s">
        <v>20</v>
      </c>
      <c r="W71" s="408" t="e">
        <f>W67*(W28*(1-$E$18)-W29*charFracC/fuelFracC)/1000</f>
        <v>#DIV/0!</v>
      </c>
      <c r="X71" s="359" t="s">
        <v>908</v>
      </c>
      <c r="Y71" s="310"/>
      <c r="Z71" s="311"/>
      <c r="AA71" s="407" t="e">
        <f>AA67*(AA28*(1-$E$18)-AA29*charFracC/fuelFracC)/1000</f>
        <v>#DIV/0!</v>
      </c>
      <c r="AB71" s="359" t="s">
        <v>909</v>
      </c>
      <c r="AC71" s="310"/>
      <c r="AD71" s="309"/>
      <c r="AE71" s="407" t="e">
        <f>AE67*(AP28*(1-$E$18)-AP29*charFracC/fuelFracC)/1000</f>
        <v>#DIV/0!</v>
      </c>
      <c r="AF71" s="351" t="s">
        <v>910</v>
      </c>
      <c r="AG71" s="13"/>
      <c r="AH71" s="13"/>
      <c r="AI71" s="271"/>
    </row>
    <row r="72" spans="2:38" ht="15.6" customHeight="1" x14ac:dyDescent="0.15">
      <c r="T72" s="10"/>
      <c r="U72" s="262" t="s">
        <v>948</v>
      </c>
      <c r="V72" s="13"/>
      <c r="W72" s="312"/>
      <c r="X72" s="22"/>
      <c r="Y72" s="57"/>
      <c r="Z72" s="61"/>
      <c r="AA72" s="2"/>
      <c r="AB72" s="22"/>
      <c r="AC72" s="57"/>
      <c r="AD72" s="13"/>
      <c r="AE72" s="312"/>
      <c r="AF72" s="22"/>
      <c r="AG72" s="13"/>
      <c r="AH72" s="21"/>
    </row>
    <row r="73" spans="2:38" ht="15.6" customHeight="1" x14ac:dyDescent="0.15">
      <c r="T73" s="10"/>
      <c r="U73" s="13" t="s">
        <v>812</v>
      </c>
      <c r="V73" s="22" t="s">
        <v>20</v>
      </c>
      <c r="W73" s="85">
        <f>W55*(AA18-N21)*(44*'General Information'!C22)/(0.008314*(AA21+273.15))/1000000</f>
        <v>0</v>
      </c>
      <c r="X73" s="360" t="s">
        <v>914</v>
      </c>
      <c r="Y73" s="361"/>
      <c r="Z73" s="362"/>
      <c r="AA73" s="93">
        <f>AA55*(AI18-N21)*(44*'General Information'!C22)/(0.008314*(AI21+273.15))/1000000</f>
        <v>0</v>
      </c>
      <c r="AB73" s="360" t="s">
        <v>915</v>
      </c>
      <c r="AC73" s="361"/>
      <c r="AD73" s="363"/>
      <c r="AE73" s="85">
        <f>AE55*(AP18-N21)*(44*'General Information'!C22)/(0.008314*(AP21+273.15))/1000000</f>
        <v>0</v>
      </c>
      <c r="AF73" s="351" t="s">
        <v>916</v>
      </c>
      <c r="AG73" s="13"/>
      <c r="AH73" s="21"/>
    </row>
    <row r="74" spans="2:38" ht="15.6" customHeight="1" x14ac:dyDescent="0.15">
      <c r="T74" s="10"/>
      <c r="U74" s="13" t="s">
        <v>810</v>
      </c>
      <c r="V74" s="22" t="s">
        <v>20</v>
      </c>
      <c r="W74" s="406">
        <f>W55*(AA19-N22)*(28*'General Information'!C22)/(0.008314*(AA21+273.15))/1000000</f>
        <v>0</v>
      </c>
      <c r="X74" s="358" t="s">
        <v>911</v>
      </c>
      <c r="Y74" s="337"/>
      <c r="Z74" s="338"/>
      <c r="AA74" s="401">
        <f>AA55*(AI19-N22)*(28*'General Information'!C22)/(0.008314*(AI21+273.15))/1000000</f>
        <v>0</v>
      </c>
      <c r="AB74" s="358" t="s">
        <v>912</v>
      </c>
      <c r="AC74" s="337"/>
      <c r="AD74" s="54"/>
      <c r="AE74" s="406">
        <f>AE55*(AP19-N22)*(28*'General Information'!C22)/(0.008314*(AP21+273.15))/1000000</f>
        <v>0</v>
      </c>
      <c r="AF74" s="351" t="s">
        <v>913</v>
      </c>
      <c r="AG74" s="13"/>
      <c r="AH74" s="21"/>
    </row>
    <row r="75" spans="2:38" ht="15.6" customHeight="1" thickBot="1" x14ac:dyDescent="0.2">
      <c r="T75" s="10"/>
      <c r="U75" s="13" t="s">
        <v>811</v>
      </c>
      <c r="V75" s="22" t="s">
        <v>20</v>
      </c>
      <c r="W75" s="407">
        <f>W55*(AA20-N23)/1000000</f>
        <v>0</v>
      </c>
      <c r="X75" s="359" t="s">
        <v>908</v>
      </c>
      <c r="Y75" s="310"/>
      <c r="Z75" s="311"/>
      <c r="AA75" s="408">
        <f>AA55*(AI20-N23)/1000000</f>
        <v>0</v>
      </c>
      <c r="AB75" s="359" t="s">
        <v>909</v>
      </c>
      <c r="AC75" s="310"/>
      <c r="AD75" s="309"/>
      <c r="AE75" s="407">
        <f>AE55*(AP20-N23)/1000000</f>
        <v>0</v>
      </c>
      <c r="AF75" s="351" t="s">
        <v>910</v>
      </c>
      <c r="AG75" s="13"/>
      <c r="AH75" s="21"/>
    </row>
    <row r="76" spans="2:38" ht="15.6" customHeight="1" thickTop="1" x14ac:dyDescent="0.15">
      <c r="T76" s="258"/>
      <c r="U76" s="259" t="s">
        <v>818</v>
      </c>
      <c r="V76" s="259"/>
      <c r="W76" s="313"/>
      <c r="X76" s="352"/>
      <c r="Y76" s="259"/>
      <c r="Z76" s="259"/>
      <c r="AA76" s="259"/>
      <c r="AB76" s="259"/>
      <c r="AC76" s="259"/>
      <c r="AD76" s="259"/>
      <c r="AE76" s="259"/>
      <c r="AF76" s="259"/>
      <c r="AG76" s="259"/>
      <c r="AH76" s="297"/>
    </row>
    <row r="77" spans="2:38" ht="15" customHeight="1" x14ac:dyDescent="0.15">
      <c r="T77" s="10"/>
      <c r="U77" s="13" t="s">
        <v>819</v>
      </c>
      <c r="V77" s="13" t="s">
        <v>20</v>
      </c>
      <c r="W77" s="406" t="e">
        <f>(IF(ISERROR(AA$38),W62,AVERAGE(W62,AA62))+AE62)*5</f>
        <v>#DIV/0!</v>
      </c>
      <c r="X77" s="22" t="s">
        <v>917</v>
      </c>
      <c r="Y77" s="13"/>
      <c r="Z77" s="13"/>
      <c r="AA77" s="13"/>
      <c r="AB77" s="13"/>
      <c r="AC77" s="13"/>
      <c r="AD77" s="13"/>
      <c r="AE77" s="13"/>
      <c r="AF77" s="13"/>
      <c r="AG77" s="13"/>
      <c r="AH77" s="21"/>
    </row>
    <row r="78" spans="2:38" ht="15" customHeight="1" thickBot="1" x14ac:dyDescent="0.2">
      <c r="T78" s="113"/>
      <c r="U78" s="114" t="s">
        <v>820</v>
      </c>
      <c r="V78" s="114" t="s">
        <v>20</v>
      </c>
      <c r="W78" s="409" t="e">
        <f>(IF(ISERROR(AA$38),W63,AVERAGE(W63,AA63))+AE63)*5</f>
        <v>#DIV/0!</v>
      </c>
      <c r="X78" s="115" t="s">
        <v>918</v>
      </c>
      <c r="Y78" s="114"/>
      <c r="Z78" s="114"/>
      <c r="AA78" s="114"/>
      <c r="AB78" s="114"/>
      <c r="AC78" s="114"/>
      <c r="AD78" s="114"/>
      <c r="AE78" s="114"/>
      <c r="AF78" s="114"/>
      <c r="AG78" s="114"/>
      <c r="AH78" s="298"/>
    </row>
    <row r="79" spans="2:38" ht="15" customHeight="1" thickTop="1" x14ac:dyDescent="0.15"/>
  </sheetData>
  <mergeCells count="82">
    <mergeCell ref="A2:S2"/>
    <mergeCell ref="W2:AB2"/>
    <mergeCell ref="AE2:AJ2"/>
    <mergeCell ref="AL2:AQ2"/>
    <mergeCell ref="W3:X3"/>
    <mergeCell ref="AA3:AB3"/>
    <mergeCell ref="AE3:AF3"/>
    <mergeCell ref="AI3:AJ3"/>
    <mergeCell ref="AL3:AM3"/>
    <mergeCell ref="D10:K10"/>
    <mergeCell ref="AP3:AQ3"/>
    <mergeCell ref="AA4:AB4"/>
    <mergeCell ref="AI4:AJ4"/>
    <mergeCell ref="AL4:AM4"/>
    <mergeCell ref="AP4:AQ4"/>
    <mergeCell ref="D6:K6"/>
    <mergeCell ref="M6:P6"/>
    <mergeCell ref="D7:K7"/>
    <mergeCell ref="M7:P7"/>
    <mergeCell ref="D8:K8"/>
    <mergeCell ref="M8:P8"/>
    <mergeCell ref="D9:K9"/>
    <mergeCell ref="D11:K11"/>
    <mergeCell ref="B14:D14"/>
    <mergeCell ref="B15:D15"/>
    <mergeCell ref="K15:M15"/>
    <mergeCell ref="B16:D16"/>
    <mergeCell ref="K16:M16"/>
    <mergeCell ref="B23:D23"/>
    <mergeCell ref="W16:X16"/>
    <mergeCell ref="AE16:AF16"/>
    <mergeCell ref="AL16:AM16"/>
    <mergeCell ref="E17:G17"/>
    <mergeCell ref="K17:M17"/>
    <mergeCell ref="B18:D18"/>
    <mergeCell ref="K18:M18"/>
    <mergeCell ref="B19:D19"/>
    <mergeCell ref="K19:M19"/>
    <mergeCell ref="B20:D20"/>
    <mergeCell ref="K20:M20"/>
    <mergeCell ref="B21:D21"/>
    <mergeCell ref="B42:R42"/>
    <mergeCell ref="B33:R33"/>
    <mergeCell ref="B41:R41"/>
    <mergeCell ref="E25:R25"/>
    <mergeCell ref="B26:R26"/>
    <mergeCell ref="B27:R27"/>
    <mergeCell ref="B29:R29"/>
    <mergeCell ref="B30:R30"/>
    <mergeCell ref="B31:R31"/>
    <mergeCell ref="B28:R28"/>
    <mergeCell ref="B32:R32"/>
    <mergeCell ref="B34:R34"/>
    <mergeCell ref="B35:R35"/>
    <mergeCell ref="B39:R39"/>
    <mergeCell ref="B40:R40"/>
    <mergeCell ref="B58:R58"/>
    <mergeCell ref="B52:R52"/>
    <mergeCell ref="B57:R57"/>
    <mergeCell ref="B43:R43"/>
    <mergeCell ref="B44:R44"/>
    <mergeCell ref="B45:R45"/>
    <mergeCell ref="B47:R47"/>
    <mergeCell ref="B48:R48"/>
    <mergeCell ref="B50:R50"/>
    <mergeCell ref="B46:R46"/>
    <mergeCell ref="B51:R51"/>
    <mergeCell ref="B53:R53"/>
    <mergeCell ref="B54:R54"/>
    <mergeCell ref="B55:R55"/>
    <mergeCell ref="B56:R56"/>
    <mergeCell ref="B67:R67"/>
    <mergeCell ref="B69:R69"/>
    <mergeCell ref="B70:R70"/>
    <mergeCell ref="B59:R59"/>
    <mergeCell ref="B61:R61"/>
    <mergeCell ref="B62:R62"/>
    <mergeCell ref="B64:R64"/>
    <mergeCell ref="B65:R65"/>
    <mergeCell ref="B66:R66"/>
    <mergeCell ref="B63:R63"/>
    <mergeCell ref="B68:R68"/>
  </mergeCells>
  <conditionalFormatting sqref="W28:W40 AA28:AA40 AP28:AP41 AE44:AF51 W55:W75 AA55:AA75 AE55:AE75 W77:W78">
    <cfRule type="containsErrors" dxfId="4" priority="1" stopIfTrue="1">
      <formula>ISERROR(W28)</formula>
    </cfRule>
  </conditionalFormatting>
  <pageMargins left="0.74791666666666667" right="0.74791666666666667" top="0.75" bottom="0.75" header="0.51180555555555551" footer="0.5"/>
  <pageSetup scale="90" firstPageNumber="0" orientation="landscape" horizontalDpi="300" verticalDpi="300" r:id="rId1"/>
  <headerFooter alignWithMargins="0">
    <oddFooter xml:space="preserve">&amp;L&amp;F&amp;C&amp;A&amp;R
</oddFooter>
  </headerFooter>
  <rowBreaks count="1" manualBreakCount="1">
    <brk id="37" max="16383" man="1"/>
  </rowBreaks>
  <colBreaks count="2" manualBreakCount="2">
    <brk id="19" max="1048575" man="1"/>
    <brk id="52" max="1048575" man="1"/>
  </colBreaks>
  <ignoredErrors>
    <ignoredError sqref="E22:E23 N20 E19 D9:K11"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2529" r:id="rId4" name="ComboBox">
              <controlPr defaultSize="0" autoFill="0" autoLine="0" autoPict="0">
                <anchor moveWithCells="1" sizeWithCells="1">
                  <from>
                    <xdr:col>3</xdr:col>
                    <xdr:colOff>838200</xdr:colOff>
                    <xdr:row>15</xdr:row>
                    <xdr:rowOff>28575</xdr:rowOff>
                  </from>
                  <to>
                    <xdr:col>7</xdr:col>
                    <xdr:colOff>123825</xdr:colOff>
                    <xdr:row>16</xdr:row>
                    <xdr:rowOff>28575</xdr:rowOff>
                  </to>
                </anchor>
              </controlPr>
            </control>
          </mc:Choice>
        </mc:AlternateContent>
        <mc:AlternateContent xmlns:mc="http://schemas.openxmlformats.org/markup-compatibility/2006">
          <mc:Choice Requires="x14">
            <control shapeId="22530" r:id="rId5" name="Drop Down 2">
              <controlPr defaultSize="0" autoLine="0" autoPict="0">
                <anchor moveWithCells="1">
                  <from>
                    <xdr:col>21</xdr:col>
                    <xdr:colOff>0</xdr:colOff>
                    <xdr:row>41</xdr:row>
                    <xdr:rowOff>9525</xdr:rowOff>
                  </from>
                  <to>
                    <xdr:col>22</xdr:col>
                    <xdr:colOff>619125</xdr:colOff>
                    <xdr:row>42</xdr:row>
                    <xdr:rowOff>9525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dimension ref="A1:AA64"/>
  <sheetViews>
    <sheetView showGridLines="0" showZeros="0" zoomScaleNormal="100" zoomScaleSheetLayoutView="70" workbookViewId="0">
      <selection activeCell="C4" sqref="C4:P4"/>
    </sheetView>
  </sheetViews>
  <sheetFormatPr defaultColWidth="9.16796875" defaultRowHeight="12.75" x14ac:dyDescent="0.15"/>
  <cols>
    <col min="1" max="1" width="1.75" style="119" customWidth="1"/>
    <col min="2" max="2" width="40.72265625" style="119" customWidth="1"/>
    <col min="3" max="3" width="9.70703125" style="120" customWidth="1"/>
    <col min="4" max="13" width="8.62890625" style="121" customWidth="1"/>
    <col min="14" max="15" width="9.84375" style="122" customWidth="1"/>
    <col min="16" max="16" width="7.8203125" style="315" customWidth="1"/>
    <col min="17" max="17" width="1.75" style="119" customWidth="1"/>
    <col min="18" max="16384" width="9.16796875" style="119"/>
  </cols>
  <sheetData>
    <row r="1" spans="1:27" ht="13.5" thickBot="1" x14ac:dyDescent="0.2">
      <c r="A1" s="125"/>
      <c r="Q1" s="128"/>
    </row>
    <row r="2" spans="1:27" ht="13.5" thickTop="1" x14ac:dyDescent="0.15">
      <c r="A2" s="125"/>
      <c r="B2" s="216" t="str">
        <f>"WATER BOILING TEST - VERSION "&amp;version</f>
        <v>WATER BOILING TEST - VERSION 4.2.3</v>
      </c>
      <c r="C2" s="219" t="s">
        <v>752</v>
      </c>
      <c r="D2" s="667">
        <f>'General Information'!C4</f>
        <v>0</v>
      </c>
      <c r="E2" s="667"/>
      <c r="F2" s="123"/>
      <c r="G2" s="123"/>
      <c r="H2" s="123"/>
      <c r="I2" s="123"/>
      <c r="J2" s="123"/>
      <c r="K2" s="123"/>
      <c r="L2" s="123"/>
      <c r="M2" s="123"/>
      <c r="N2" s="124"/>
      <c r="O2" s="124"/>
      <c r="P2" s="316"/>
      <c r="Q2" s="128"/>
    </row>
    <row r="3" spans="1:27" x14ac:dyDescent="0.15">
      <c r="A3" s="125"/>
      <c r="B3" s="218" t="s">
        <v>753</v>
      </c>
      <c r="C3" s="154"/>
      <c r="D3" s="215"/>
      <c r="E3" s="215"/>
      <c r="P3" s="317"/>
      <c r="Q3" s="128"/>
    </row>
    <row r="4" spans="1:27" x14ac:dyDescent="0.15">
      <c r="A4" s="125"/>
      <c r="B4" s="127" t="s">
        <v>43</v>
      </c>
      <c r="C4" s="668">
        <f>'General Information'!C10</f>
        <v>0</v>
      </c>
      <c r="D4" s="668"/>
      <c r="E4" s="668"/>
      <c r="F4" s="668"/>
      <c r="G4" s="668"/>
      <c r="H4" s="668"/>
      <c r="I4" s="668"/>
      <c r="J4" s="668"/>
      <c r="K4" s="668"/>
      <c r="L4" s="668"/>
      <c r="M4" s="668"/>
      <c r="N4" s="668"/>
      <c r="O4" s="668"/>
      <c r="P4" s="668"/>
      <c r="Q4" s="128"/>
    </row>
    <row r="5" spans="1:27" x14ac:dyDescent="0.15">
      <c r="A5" s="125"/>
      <c r="B5" s="127" t="s">
        <v>50</v>
      </c>
      <c r="C5" s="668">
        <f>'General Information'!C7</f>
        <v>0</v>
      </c>
      <c r="D5" s="668"/>
      <c r="E5" s="668"/>
      <c r="F5" s="668"/>
      <c r="G5" s="668"/>
      <c r="H5" s="668"/>
      <c r="I5" s="668"/>
      <c r="J5" s="668"/>
      <c r="K5" s="668"/>
      <c r="L5" s="668"/>
      <c r="M5" s="668"/>
      <c r="N5" s="668"/>
      <c r="O5" s="668"/>
      <c r="P5" s="668"/>
      <c r="Q5" s="128"/>
    </row>
    <row r="6" spans="1:27" x14ac:dyDescent="0.15">
      <c r="A6" s="125"/>
      <c r="B6" s="202" t="s">
        <v>707</v>
      </c>
      <c r="C6" s="267" t="str">
        <f>IF('General Information'!J4=1,"",VLOOKUP('General Information'!J4,FuelCalorific,2,FALSE))</f>
        <v/>
      </c>
      <c r="D6" s="267"/>
      <c r="E6" s="267"/>
      <c r="F6" s="267"/>
      <c r="G6" s="267"/>
      <c r="H6" s="267"/>
      <c r="I6" s="267"/>
      <c r="J6" s="267"/>
      <c r="K6" s="267"/>
      <c r="L6" s="267"/>
      <c r="M6" s="267"/>
      <c r="N6" s="267"/>
      <c r="O6" s="267"/>
      <c r="P6" s="318"/>
      <c r="Q6" s="128"/>
      <c r="T6" s="127"/>
      <c r="U6" s="127"/>
      <c r="V6" s="127"/>
      <c r="W6" s="127"/>
      <c r="X6" s="127"/>
      <c r="Z6" s="127"/>
      <c r="AA6" s="127"/>
    </row>
    <row r="7" spans="1:27" x14ac:dyDescent="0.15">
      <c r="A7" s="125"/>
      <c r="B7" s="480" t="s">
        <v>722</v>
      </c>
      <c r="C7" s="669" t="str">
        <f>IF('Test-1'!E16=1,"",VLOOKUP('Test-1'!E16,WindConditions,2,FALSE)&amp;"; ")&amp;IF('Test-2'!E16=1,"",VLOOKUP('Test-2'!E16,WindConditions,2,FALSE)&amp;"; ")&amp;IF('Test-3'!E16=1,"",VLOOKUP('Test-3'!E16,WindConditions,2,FALSE)&amp;"; ")&amp;IF('Test-4'!E16=1,"",VLOOKUP('Test-4'!E16,WindConditions,2,FALSE)&amp;"; ")&amp;IF('Test-5'!E16=1,"",VLOOKUP('Test-5'!E16,WindConditions,2,FALSE)&amp;"; ")&amp;IF('Test-6'!E16=1,"",VLOOKUP('Test-6'!E16,WindConditions,2,FALSE)&amp;"; ")&amp;IF('Test-7'!E16=1,"",VLOOKUP('Test-7'!E16,WindConditions,2,FALSE)&amp;"; ")&amp;IF('Test-8'!E16=1,"",VLOOKUP('Test-8'!E16,WindConditions,2,FALSE)&amp;"; ")&amp;IF('Test-9'!E16=1,"",VLOOKUP('Test-9'!E16,WindConditions,2,FALSE)&amp;"; ")&amp;IF('Test-10'!E16=1,"",VLOOKUP('Test-10'!E16,WindConditions,2,FALSE))</f>
        <v/>
      </c>
      <c r="D7" s="669"/>
      <c r="E7" s="669"/>
      <c r="F7" s="669"/>
      <c r="G7" s="669"/>
      <c r="H7" s="669"/>
      <c r="I7" s="669"/>
      <c r="J7" s="669"/>
      <c r="K7" s="669"/>
      <c r="L7" s="669"/>
      <c r="M7" s="669"/>
      <c r="N7" s="669"/>
      <c r="O7" s="669"/>
      <c r="P7" s="669"/>
      <c r="Q7" s="128"/>
      <c r="R7" s="2"/>
    </row>
    <row r="8" spans="1:27" x14ac:dyDescent="0.15">
      <c r="A8" s="125"/>
      <c r="B8" s="217" t="s">
        <v>751</v>
      </c>
      <c r="C8" s="670" t="str">
        <f>'Test-1'!E15&amp;"ºC; "&amp;'Test-2'!E15&amp;"ºC; "&amp;'Test-3'!E15&amp;"ºC; "&amp;'Test-4'!E15&amp;"ºC; "&amp;'Test-5'!E15&amp;"ºC; "&amp;'Test-6'!E15&amp;"ºC; "&amp;'Test-7'!E15&amp;"ºC; "&amp;'Test-8'!E15&amp;"ºC; "&amp;'Test-9'!E15&amp;"ºC; "&amp;'Test-10'!E15&amp;"ºC"</f>
        <v>ºC; ºC; ºC; ºC; ºC; ºC; ºC; ºC; ºC; ºC</v>
      </c>
      <c r="D8" s="670"/>
      <c r="E8" s="670"/>
      <c r="F8" s="670"/>
      <c r="G8" s="670"/>
      <c r="H8" s="670"/>
      <c r="I8" s="670"/>
      <c r="J8" s="670"/>
      <c r="K8" s="670"/>
      <c r="L8" s="670"/>
      <c r="M8" s="670"/>
      <c r="N8" s="670"/>
      <c r="O8" s="670"/>
      <c r="P8" s="670"/>
      <c r="Q8" s="128"/>
      <c r="R8" s="2"/>
    </row>
    <row r="9" spans="1:27" x14ac:dyDescent="0.15">
      <c r="A9" s="125"/>
      <c r="B9" s="126"/>
      <c r="C9" s="129"/>
      <c r="P9" s="317"/>
      <c r="Q9" s="128"/>
      <c r="R9" s="2"/>
    </row>
    <row r="10" spans="1:27" x14ac:dyDescent="0.15">
      <c r="A10" s="125"/>
      <c r="B10" s="130" t="s">
        <v>187</v>
      </c>
      <c r="C10" s="131" t="s">
        <v>90</v>
      </c>
      <c r="D10" s="132" t="s">
        <v>188</v>
      </c>
      <c r="E10" s="132" t="s">
        <v>189</v>
      </c>
      <c r="F10" s="132" t="s">
        <v>190</v>
      </c>
      <c r="G10" s="132" t="s">
        <v>1005</v>
      </c>
      <c r="H10" s="132" t="s">
        <v>1006</v>
      </c>
      <c r="I10" s="132" t="s">
        <v>1007</v>
      </c>
      <c r="J10" s="132" t="s">
        <v>1008</v>
      </c>
      <c r="K10" s="132" t="s">
        <v>1009</v>
      </c>
      <c r="L10" s="132" t="s">
        <v>1010</v>
      </c>
      <c r="M10" s="132" t="s">
        <v>1011</v>
      </c>
      <c r="N10" s="133" t="s">
        <v>191</v>
      </c>
      <c r="O10" s="134" t="s">
        <v>192</v>
      </c>
      <c r="P10" s="319" t="s">
        <v>193</v>
      </c>
      <c r="Q10" s="128"/>
      <c r="R10" s="2"/>
    </row>
    <row r="11" spans="1:27" x14ac:dyDescent="0.15">
      <c r="A11" s="125"/>
      <c r="B11" s="273" t="s">
        <v>140</v>
      </c>
      <c r="C11" s="274" t="s">
        <v>141</v>
      </c>
      <c r="D11" s="481">
        <f>'Test-1'!$W33</f>
        <v>0</v>
      </c>
      <c r="E11" s="481">
        <f>'Test-2'!$W33</f>
        <v>0</v>
      </c>
      <c r="F11" s="481">
        <f>'Test-3'!$W33</f>
        <v>0</v>
      </c>
      <c r="G11" s="481">
        <f>'Test-4'!$W33</f>
        <v>0</v>
      </c>
      <c r="H11" s="481">
        <f>'Test-5'!$W33</f>
        <v>0</v>
      </c>
      <c r="I11" s="481">
        <f>'Test-6'!$W33</f>
        <v>0</v>
      </c>
      <c r="J11" s="481">
        <f>'Test-7'!$W33</f>
        <v>0</v>
      </c>
      <c r="K11" s="481">
        <f>'Test-8'!$W33</f>
        <v>0</v>
      </c>
      <c r="L11" s="481">
        <f>'Test-9'!$W33</f>
        <v>0</v>
      </c>
      <c r="M11" s="481">
        <f>'Test-10'!$W33</f>
        <v>0</v>
      </c>
      <c r="N11" s="503" t="e">
        <f t="shared" ref="N11:N17" si="0">SUMIF(D11:M11,"&gt;0",D11:M11)/COUNTIF(D11:M11,"&gt;0")</f>
        <v>#DIV/0!</v>
      </c>
      <c r="O11" s="482">
        <f t="shared" ref="O11:O18" si="1">IF(PRODUCT(D11:M11)=0,0,STDEV(D11:M11))</f>
        <v>0</v>
      </c>
      <c r="P11" s="485" t="e">
        <f t="shared" ref="P11:P18" si="2">IF(N11=0,0,O11/N11)</f>
        <v>#DIV/0!</v>
      </c>
      <c r="Q11" s="128"/>
      <c r="R11" s="2"/>
    </row>
    <row r="12" spans="1:27" x14ac:dyDescent="0.15">
      <c r="A12" s="125"/>
      <c r="B12" s="135" t="s">
        <v>194</v>
      </c>
      <c r="C12" s="129" t="s">
        <v>141</v>
      </c>
      <c r="D12" s="339" t="e">
        <f>'Test-1'!$W34</f>
        <v>#DIV/0!</v>
      </c>
      <c r="E12" s="339" t="e">
        <f>'Test-2'!$W34</f>
        <v>#DIV/0!</v>
      </c>
      <c r="F12" s="339" t="e">
        <f>'Test-3'!$W34</f>
        <v>#DIV/0!</v>
      </c>
      <c r="G12" s="339" t="e">
        <f>'Test-4'!$W34</f>
        <v>#DIV/0!</v>
      </c>
      <c r="H12" s="339" t="e">
        <f>'Test-5'!$W34</f>
        <v>#DIV/0!</v>
      </c>
      <c r="I12" s="339" t="e">
        <f>'Test-6'!$W34</f>
        <v>#DIV/0!</v>
      </c>
      <c r="J12" s="339" t="e">
        <f>'Test-7'!$W34</f>
        <v>#DIV/0!</v>
      </c>
      <c r="K12" s="339" t="e">
        <f>'Test-8'!$W34</f>
        <v>#DIV/0!</v>
      </c>
      <c r="L12" s="339" t="e">
        <f>'Test-9'!$W34</f>
        <v>#DIV/0!</v>
      </c>
      <c r="M12" s="339" t="e">
        <f>'Test-10'!$W34</f>
        <v>#DIV/0!</v>
      </c>
      <c r="N12" s="504" t="e">
        <f t="shared" si="0"/>
        <v>#DIV/0!</v>
      </c>
      <c r="O12" s="483" t="e">
        <f t="shared" si="1"/>
        <v>#DIV/0!</v>
      </c>
      <c r="P12" s="486" t="e">
        <f t="shared" si="2"/>
        <v>#DIV/0!</v>
      </c>
      <c r="Q12" s="128"/>
      <c r="R12" s="2"/>
    </row>
    <row r="13" spans="1:27" x14ac:dyDescent="0.15">
      <c r="A13" s="125"/>
      <c r="B13" s="135" t="s">
        <v>153</v>
      </c>
      <c r="C13" s="129" t="s">
        <v>154</v>
      </c>
      <c r="D13" s="339" t="e">
        <f>'Test-1'!$W36</f>
        <v>#DIV/0!</v>
      </c>
      <c r="E13" s="339" t="e">
        <f>'Test-2'!$W36</f>
        <v>#DIV/0!</v>
      </c>
      <c r="F13" s="339" t="e">
        <f>'Test-3'!$W36</f>
        <v>#DIV/0!</v>
      </c>
      <c r="G13" s="339" t="e">
        <f>'Test-4'!$W36</f>
        <v>#DIV/0!</v>
      </c>
      <c r="H13" s="339" t="e">
        <f>'Test-5'!$W36</f>
        <v>#DIV/0!</v>
      </c>
      <c r="I13" s="339" t="e">
        <f>'Test-6'!$W36</f>
        <v>#DIV/0!</v>
      </c>
      <c r="J13" s="339" t="e">
        <f>'Test-7'!$W36</f>
        <v>#DIV/0!</v>
      </c>
      <c r="K13" s="339" t="e">
        <f>'Test-8'!$W36</f>
        <v>#DIV/0!</v>
      </c>
      <c r="L13" s="339" t="e">
        <f>'Test-9'!$W36</f>
        <v>#DIV/0!</v>
      </c>
      <c r="M13" s="339" t="e">
        <f>'Test-10'!$W36</f>
        <v>#DIV/0!</v>
      </c>
      <c r="N13" s="504" t="e">
        <f t="shared" si="0"/>
        <v>#DIV/0!</v>
      </c>
      <c r="O13" s="483" t="e">
        <f t="shared" si="1"/>
        <v>#DIV/0!</v>
      </c>
      <c r="P13" s="486" t="e">
        <f t="shared" si="2"/>
        <v>#DIV/0!</v>
      </c>
      <c r="Q13" s="128"/>
      <c r="R13" s="2"/>
    </row>
    <row r="14" spans="1:27" x14ac:dyDescent="0.15">
      <c r="A14" s="125"/>
      <c r="B14" s="135" t="s">
        <v>149</v>
      </c>
      <c r="C14" s="129" t="s">
        <v>113</v>
      </c>
      <c r="D14" s="341" t="e">
        <f>'Test-1'!$W35</f>
        <v>#DIV/0!</v>
      </c>
      <c r="E14" s="341" t="e">
        <f>'Test-2'!$W35</f>
        <v>#DIV/0!</v>
      </c>
      <c r="F14" s="341" t="e">
        <f>'Test-3'!$W35</f>
        <v>#DIV/0!</v>
      </c>
      <c r="G14" s="341" t="e">
        <f>'Test-4'!$W35</f>
        <v>#DIV/0!</v>
      </c>
      <c r="H14" s="341" t="e">
        <f>'Test-5'!$W35</f>
        <v>#DIV/0!</v>
      </c>
      <c r="I14" s="341" t="e">
        <f>'Test-6'!$W35</f>
        <v>#DIV/0!</v>
      </c>
      <c r="J14" s="341" t="e">
        <f>'Test-7'!$W35</f>
        <v>#DIV/0!</v>
      </c>
      <c r="K14" s="341" t="e">
        <f>'Test-8'!$W35</f>
        <v>#DIV/0!</v>
      </c>
      <c r="L14" s="341" t="e">
        <f>'Test-9'!$W35</f>
        <v>#DIV/0!</v>
      </c>
      <c r="M14" s="341" t="e">
        <f>'Test-10'!$W35</f>
        <v>#DIV/0!</v>
      </c>
      <c r="N14" s="506" t="e">
        <f t="shared" si="0"/>
        <v>#DIV/0!</v>
      </c>
      <c r="O14" s="552" t="e">
        <f t="shared" si="1"/>
        <v>#DIV/0!</v>
      </c>
      <c r="P14" s="486" t="e">
        <f t="shared" si="2"/>
        <v>#DIV/0!</v>
      </c>
      <c r="Q14" s="128"/>
      <c r="R14" s="2"/>
    </row>
    <row r="15" spans="1:27" x14ac:dyDescent="0.15">
      <c r="A15" s="125"/>
      <c r="B15" s="135" t="s">
        <v>158</v>
      </c>
      <c r="C15" s="129" t="s">
        <v>159</v>
      </c>
      <c r="D15" s="339" t="e">
        <f>'Test-1'!$W37</f>
        <v>#DIV/0!</v>
      </c>
      <c r="E15" s="339" t="e">
        <f>'Test-2'!$W37</f>
        <v>#DIV/0!</v>
      </c>
      <c r="F15" s="339" t="e">
        <f>'Test-3'!$W37</f>
        <v>#DIV/0!</v>
      </c>
      <c r="G15" s="339" t="e">
        <f>'Test-4'!$W37</f>
        <v>#DIV/0!</v>
      </c>
      <c r="H15" s="339" t="e">
        <f>'Test-5'!$W37</f>
        <v>#DIV/0!</v>
      </c>
      <c r="I15" s="339" t="e">
        <f>'Test-6'!$W37</f>
        <v>#DIV/0!</v>
      </c>
      <c r="J15" s="339" t="e">
        <f>'Test-7'!$W37</f>
        <v>#DIV/0!</v>
      </c>
      <c r="K15" s="339" t="e">
        <f>'Test-8'!$W37</f>
        <v>#DIV/0!</v>
      </c>
      <c r="L15" s="339" t="e">
        <f>'Test-9'!$W37</f>
        <v>#DIV/0!</v>
      </c>
      <c r="M15" s="339" t="e">
        <f>'Test-10'!$W37</f>
        <v>#DIV/0!</v>
      </c>
      <c r="N15" s="504" t="e">
        <f t="shared" si="0"/>
        <v>#DIV/0!</v>
      </c>
      <c r="O15" s="483" t="e">
        <f t="shared" si="1"/>
        <v>#DIV/0!</v>
      </c>
      <c r="P15" s="486" t="e">
        <f t="shared" si="2"/>
        <v>#DIV/0!</v>
      </c>
      <c r="Q15" s="128"/>
    </row>
    <row r="16" spans="1:27" x14ac:dyDescent="0.15">
      <c r="A16" s="125"/>
      <c r="B16" s="135" t="s">
        <v>195</v>
      </c>
      <c r="C16" s="129" t="s">
        <v>159</v>
      </c>
      <c r="D16" s="339" t="e">
        <f>'Test-1'!$W38</f>
        <v>#DIV/0!</v>
      </c>
      <c r="E16" s="339" t="e">
        <f>'Test-2'!$W38</f>
        <v>#DIV/0!</v>
      </c>
      <c r="F16" s="339" t="e">
        <f>'Test-3'!$W38</f>
        <v>#DIV/0!</v>
      </c>
      <c r="G16" s="339" t="e">
        <f>'Test-4'!$W38</f>
        <v>#DIV/0!</v>
      </c>
      <c r="H16" s="339" t="e">
        <f>'Test-5'!$W38</f>
        <v>#DIV/0!</v>
      </c>
      <c r="I16" s="339" t="e">
        <f>'Test-6'!$W38</f>
        <v>#DIV/0!</v>
      </c>
      <c r="J16" s="339" t="e">
        <f>'Test-7'!$W38</f>
        <v>#DIV/0!</v>
      </c>
      <c r="K16" s="339" t="e">
        <f>'Test-8'!$W38</f>
        <v>#DIV/0!</v>
      </c>
      <c r="L16" s="339" t="e">
        <f>'Test-9'!$W38</f>
        <v>#DIV/0!</v>
      </c>
      <c r="M16" s="339" t="e">
        <f>'Test-10'!$W38</f>
        <v>#DIV/0!</v>
      </c>
      <c r="N16" s="504" t="e">
        <f t="shared" si="0"/>
        <v>#DIV/0!</v>
      </c>
      <c r="O16" s="483" t="e">
        <f t="shared" si="1"/>
        <v>#DIV/0!</v>
      </c>
      <c r="P16" s="486" t="e">
        <f t="shared" si="2"/>
        <v>#DIV/0!</v>
      </c>
      <c r="Q16" s="128"/>
    </row>
    <row r="17" spans="1:18" x14ac:dyDescent="0.15">
      <c r="A17" s="125"/>
      <c r="B17" s="135" t="s">
        <v>196</v>
      </c>
      <c r="C17" s="129" t="s">
        <v>172</v>
      </c>
      <c r="D17" s="339" t="e">
        <f>'Test-1'!$W39</f>
        <v>#DIV/0!</v>
      </c>
      <c r="E17" s="339" t="e">
        <f>'Test-2'!$W39</f>
        <v>#DIV/0!</v>
      </c>
      <c r="F17" s="339" t="e">
        <f>'Test-3'!$W39</f>
        <v>#DIV/0!</v>
      </c>
      <c r="G17" s="339" t="e">
        <f>'Test-4'!$W39</f>
        <v>#DIV/0!</v>
      </c>
      <c r="H17" s="339" t="e">
        <f>'Test-5'!$W39</f>
        <v>#DIV/0!</v>
      </c>
      <c r="I17" s="339" t="e">
        <f>'Test-6'!$W39</f>
        <v>#DIV/0!</v>
      </c>
      <c r="J17" s="339" t="e">
        <f>'Test-7'!$W39</f>
        <v>#DIV/0!</v>
      </c>
      <c r="K17" s="339" t="e">
        <f>'Test-8'!$W39</f>
        <v>#DIV/0!</v>
      </c>
      <c r="L17" s="339" t="e">
        <f>'Test-9'!$W39</f>
        <v>#DIV/0!</v>
      </c>
      <c r="M17" s="339" t="e">
        <f>'Test-10'!$W39</f>
        <v>#DIV/0!</v>
      </c>
      <c r="N17" s="504" t="e">
        <f t="shared" si="0"/>
        <v>#DIV/0!</v>
      </c>
      <c r="O17" s="483" t="e">
        <f t="shared" si="1"/>
        <v>#DIV/0!</v>
      </c>
      <c r="P17" s="486" t="e">
        <f t="shared" si="2"/>
        <v>#DIV/0!</v>
      </c>
      <c r="Q17" s="128"/>
    </row>
    <row r="18" spans="1:18" x14ac:dyDescent="0.15">
      <c r="A18" s="125"/>
      <c r="B18" s="138" t="s">
        <v>163</v>
      </c>
      <c r="C18" s="139" t="s">
        <v>164</v>
      </c>
      <c r="D18" s="342" t="e">
        <f>'Test-1'!$W40</f>
        <v>#DIV/0!</v>
      </c>
      <c r="E18" s="342" t="e">
        <f>'Test-2'!$W40</f>
        <v>#DIV/0!</v>
      </c>
      <c r="F18" s="342" t="e">
        <f>'Test-3'!$W40</f>
        <v>#DIV/0!</v>
      </c>
      <c r="G18" s="342" t="e">
        <f>'Test-4'!$W40</f>
        <v>#DIV/0!</v>
      </c>
      <c r="H18" s="342" t="e">
        <f>'Test-5'!$W40</f>
        <v>#DIV/0!</v>
      </c>
      <c r="I18" s="342" t="e">
        <f>'Test-6'!$W40</f>
        <v>#DIV/0!</v>
      </c>
      <c r="J18" s="342" t="e">
        <f>'Test-7'!$W40</f>
        <v>#DIV/0!</v>
      </c>
      <c r="K18" s="342" t="e">
        <f>'Test-8'!$W40</f>
        <v>#DIV/0!</v>
      </c>
      <c r="L18" s="342" t="e">
        <f>'Test-9'!$W40</f>
        <v>#DIV/0!</v>
      </c>
      <c r="M18" s="342" t="e">
        <f>'Test-10'!$W40</f>
        <v>#DIV/0!</v>
      </c>
      <c r="N18" s="507" t="e">
        <f>SUMIF(D18:M18,"&gt;0",D18:M18)/IF(D18=0,1,COUNTIF(D18:M18,"&gt;0"))</f>
        <v>#DIV/0!</v>
      </c>
      <c r="O18" s="484" t="e">
        <f t="shared" si="1"/>
        <v>#DIV/0!</v>
      </c>
      <c r="P18" s="487" t="e">
        <f t="shared" si="2"/>
        <v>#DIV/0!</v>
      </c>
      <c r="Q18" s="128"/>
    </row>
    <row r="19" spans="1:18" x14ac:dyDescent="0.15">
      <c r="A19" s="125"/>
      <c r="B19" s="126"/>
      <c r="C19" s="129"/>
      <c r="D19" s="122"/>
      <c r="E19" s="122"/>
      <c r="F19" s="122"/>
      <c r="G19" s="122"/>
      <c r="H19" s="122"/>
      <c r="I19" s="122"/>
      <c r="J19" s="122"/>
      <c r="K19" s="122"/>
      <c r="L19" s="122"/>
      <c r="M19" s="122"/>
      <c r="N19" s="344"/>
      <c r="P19" s="320"/>
      <c r="Q19" s="128"/>
    </row>
    <row r="20" spans="1:18" x14ac:dyDescent="0.15">
      <c r="A20" s="125"/>
      <c r="B20" s="130" t="s">
        <v>197</v>
      </c>
      <c r="C20" s="131" t="s">
        <v>90</v>
      </c>
      <c r="D20" s="345" t="s">
        <v>188</v>
      </c>
      <c r="E20" s="345" t="s">
        <v>189</v>
      </c>
      <c r="F20" s="345" t="s">
        <v>190</v>
      </c>
      <c r="G20" s="132" t="s">
        <v>1005</v>
      </c>
      <c r="H20" s="132" t="s">
        <v>1006</v>
      </c>
      <c r="I20" s="132" t="s">
        <v>1007</v>
      </c>
      <c r="J20" s="132" t="s">
        <v>1008</v>
      </c>
      <c r="K20" s="132" t="s">
        <v>1009</v>
      </c>
      <c r="L20" s="132" t="s">
        <v>1010</v>
      </c>
      <c r="M20" s="132" t="s">
        <v>1011</v>
      </c>
      <c r="N20" s="346" t="s">
        <v>191</v>
      </c>
      <c r="O20" s="347" t="s">
        <v>192</v>
      </c>
      <c r="P20" s="321" t="s">
        <v>193</v>
      </c>
      <c r="Q20" s="128"/>
    </row>
    <row r="21" spans="1:18" x14ac:dyDescent="0.15">
      <c r="A21" s="125"/>
      <c r="B21" s="135" t="s">
        <v>140</v>
      </c>
      <c r="C21" s="129" t="s">
        <v>141</v>
      </c>
      <c r="D21" s="339">
        <f>'Test-1'!$AA33</f>
        <v>0</v>
      </c>
      <c r="E21" s="339">
        <f>'Test-2'!$AA33</f>
        <v>0</v>
      </c>
      <c r="F21" s="339">
        <f>'Test-3'!$AA33</f>
        <v>0</v>
      </c>
      <c r="G21" s="339">
        <f>'Test-4'!$AA33</f>
        <v>0</v>
      </c>
      <c r="H21" s="339">
        <f>'Test-5'!$AA33</f>
        <v>0</v>
      </c>
      <c r="I21" s="339">
        <f>'Test-6'!$AA33</f>
        <v>0</v>
      </c>
      <c r="J21" s="339">
        <f>'Test-7'!$AA33</f>
        <v>0</v>
      </c>
      <c r="K21" s="339">
        <f>'Test-8'!$AA33</f>
        <v>0</v>
      </c>
      <c r="L21" s="339">
        <f>'Test-9'!$AA33</f>
        <v>0</v>
      </c>
      <c r="M21" s="339">
        <f>'Test-10'!$AA33</f>
        <v>0</v>
      </c>
      <c r="N21" s="503" t="e">
        <f t="shared" ref="N21:N28" si="3">SUMIF(D21:M21,"&gt;0",D21:M21)/COUNTIF(D21:M21,"&gt;0")</f>
        <v>#DIV/0!</v>
      </c>
      <c r="O21" s="340">
        <f t="shared" ref="O21:O28" si="4">IF(PRODUCT(D21:M21)=0,0,STDEV(D21:M21))</f>
        <v>0</v>
      </c>
      <c r="P21" s="546" t="e">
        <f t="shared" ref="P21:P28" si="5">IF(N21=0,0,O21/N21)</f>
        <v>#DIV/0!</v>
      </c>
      <c r="Q21" s="128"/>
    </row>
    <row r="22" spans="1:18" x14ac:dyDescent="0.15">
      <c r="A22" s="125"/>
      <c r="B22" s="135" t="s">
        <v>194</v>
      </c>
      <c r="C22" s="129" t="s">
        <v>141</v>
      </c>
      <c r="D22" s="339" t="e">
        <f>'Test-1'!$AA34</f>
        <v>#DIV/0!</v>
      </c>
      <c r="E22" s="339" t="e">
        <f>'Test-2'!$AA34</f>
        <v>#DIV/0!</v>
      </c>
      <c r="F22" s="339" t="e">
        <f>'Test-3'!$AA34</f>
        <v>#DIV/0!</v>
      </c>
      <c r="G22" s="339" t="e">
        <f>'Test-4'!$AA34</f>
        <v>#DIV/0!</v>
      </c>
      <c r="H22" s="339" t="e">
        <f>'Test-5'!$AA34</f>
        <v>#DIV/0!</v>
      </c>
      <c r="I22" s="339" t="e">
        <f>'Test-6'!$AA34</f>
        <v>#DIV/0!</v>
      </c>
      <c r="J22" s="339" t="e">
        <f>'Test-7'!$AA34</f>
        <v>#DIV/0!</v>
      </c>
      <c r="K22" s="339" t="e">
        <f>'Test-8'!$AA34</f>
        <v>#DIV/0!</v>
      </c>
      <c r="L22" s="339" t="e">
        <f>'Test-9'!$AA34</f>
        <v>#DIV/0!</v>
      </c>
      <c r="M22" s="339" t="e">
        <f>'Test-10'!$AA34</f>
        <v>#DIV/0!</v>
      </c>
      <c r="N22" s="504" t="e">
        <f t="shared" si="3"/>
        <v>#DIV/0!</v>
      </c>
      <c r="O22" s="340" t="e">
        <f t="shared" si="4"/>
        <v>#DIV/0!</v>
      </c>
      <c r="P22" s="546" t="e">
        <f t="shared" si="5"/>
        <v>#DIV/0!</v>
      </c>
      <c r="Q22" s="128"/>
    </row>
    <row r="23" spans="1:18" x14ac:dyDescent="0.15">
      <c r="A23" s="125"/>
      <c r="B23" s="135" t="s">
        <v>153</v>
      </c>
      <c r="C23" s="129" t="s">
        <v>154</v>
      </c>
      <c r="D23" s="339" t="e">
        <f>'Test-1'!$AA36</f>
        <v>#DIV/0!</v>
      </c>
      <c r="E23" s="339" t="e">
        <f>'Test-2'!$AA36</f>
        <v>#DIV/0!</v>
      </c>
      <c r="F23" s="339" t="e">
        <f>'Test-3'!$AA36</f>
        <v>#DIV/0!</v>
      </c>
      <c r="G23" s="339" t="e">
        <f>'Test-4'!$AA36</f>
        <v>#DIV/0!</v>
      </c>
      <c r="H23" s="339" t="e">
        <f>'Test-5'!$AA36</f>
        <v>#DIV/0!</v>
      </c>
      <c r="I23" s="339" t="e">
        <f>'Test-6'!$AA36</f>
        <v>#DIV/0!</v>
      </c>
      <c r="J23" s="339" t="e">
        <f>'Test-7'!$AA36</f>
        <v>#DIV/0!</v>
      </c>
      <c r="K23" s="339" t="e">
        <f>'Test-8'!$AA36</f>
        <v>#DIV/0!</v>
      </c>
      <c r="L23" s="339" t="e">
        <f>'Test-9'!$AA36</f>
        <v>#DIV/0!</v>
      </c>
      <c r="M23" s="339" t="e">
        <f>'Test-10'!$AA36</f>
        <v>#DIV/0!</v>
      </c>
      <c r="N23" s="504" t="e">
        <f t="shared" si="3"/>
        <v>#DIV/0!</v>
      </c>
      <c r="O23" s="340" t="e">
        <f t="shared" si="4"/>
        <v>#DIV/0!</v>
      </c>
      <c r="P23" s="546" t="e">
        <f t="shared" si="5"/>
        <v>#DIV/0!</v>
      </c>
      <c r="Q23" s="128"/>
    </row>
    <row r="24" spans="1:18" x14ac:dyDescent="0.15">
      <c r="A24" s="125"/>
      <c r="B24" s="135" t="s">
        <v>149</v>
      </c>
      <c r="C24" s="129" t="s">
        <v>113</v>
      </c>
      <c r="D24" s="341" t="e">
        <f>'Test-1'!$AA35</f>
        <v>#DIV/0!</v>
      </c>
      <c r="E24" s="341" t="e">
        <f>'Test-2'!$AA35</f>
        <v>#DIV/0!</v>
      </c>
      <c r="F24" s="341" t="e">
        <f>'Test-3'!$AA35</f>
        <v>#DIV/0!</v>
      </c>
      <c r="G24" s="341" t="e">
        <f>'Test-4'!$AA35</f>
        <v>#DIV/0!</v>
      </c>
      <c r="H24" s="341" t="e">
        <f>'Test-5'!$AA35</f>
        <v>#DIV/0!</v>
      </c>
      <c r="I24" s="341" t="e">
        <f>'Test-6'!$AA35</f>
        <v>#DIV/0!</v>
      </c>
      <c r="J24" s="341" t="e">
        <f>'Test-7'!$AA35</f>
        <v>#DIV/0!</v>
      </c>
      <c r="K24" s="341" t="e">
        <f>'Test-8'!$AA35</f>
        <v>#DIV/0!</v>
      </c>
      <c r="L24" s="341" t="e">
        <f>'Test-9'!$AA35</f>
        <v>#DIV/0!</v>
      </c>
      <c r="M24" s="341" t="e">
        <f>'Test-10'!$AA35</f>
        <v>#DIV/0!</v>
      </c>
      <c r="N24" s="504" t="e">
        <f t="shared" si="3"/>
        <v>#DIV/0!</v>
      </c>
      <c r="O24" s="551" t="e">
        <f t="shared" si="4"/>
        <v>#DIV/0!</v>
      </c>
      <c r="P24" s="546" t="e">
        <f t="shared" si="5"/>
        <v>#DIV/0!</v>
      </c>
      <c r="Q24" s="128"/>
    </row>
    <row r="25" spans="1:18" x14ac:dyDescent="0.15">
      <c r="A25" s="125"/>
      <c r="B25" s="135" t="s">
        <v>158</v>
      </c>
      <c r="C25" s="129" t="s">
        <v>159</v>
      </c>
      <c r="D25" s="339" t="e">
        <f>'Test-1'!$AA37</f>
        <v>#DIV/0!</v>
      </c>
      <c r="E25" s="339" t="e">
        <f>'Test-2'!$AA37</f>
        <v>#DIV/0!</v>
      </c>
      <c r="F25" s="339" t="e">
        <f>'Test-3'!$AA37</f>
        <v>#DIV/0!</v>
      </c>
      <c r="G25" s="339" t="e">
        <f>'Test-4'!$AA37</f>
        <v>#DIV/0!</v>
      </c>
      <c r="H25" s="339" t="e">
        <f>'Test-5'!$AA37</f>
        <v>#DIV/0!</v>
      </c>
      <c r="I25" s="339" t="e">
        <f>'Test-6'!$AA37</f>
        <v>#DIV/0!</v>
      </c>
      <c r="J25" s="339" t="e">
        <f>'Test-7'!$AA37</f>
        <v>#DIV/0!</v>
      </c>
      <c r="K25" s="339" t="e">
        <f>'Test-8'!$AA37</f>
        <v>#DIV/0!</v>
      </c>
      <c r="L25" s="339" t="e">
        <f>'Test-9'!$AA37</f>
        <v>#DIV/0!</v>
      </c>
      <c r="M25" s="339" t="e">
        <f>'Test-10'!$AA37</f>
        <v>#DIV/0!</v>
      </c>
      <c r="N25" s="504" t="e">
        <f t="shared" si="3"/>
        <v>#DIV/0!</v>
      </c>
      <c r="O25" s="340" t="e">
        <f t="shared" si="4"/>
        <v>#DIV/0!</v>
      </c>
      <c r="P25" s="546" t="e">
        <f t="shared" si="5"/>
        <v>#DIV/0!</v>
      </c>
      <c r="Q25" s="128"/>
    </row>
    <row r="26" spans="1:18" x14ac:dyDescent="0.15">
      <c r="A26" s="125"/>
      <c r="B26" s="135" t="s">
        <v>195</v>
      </c>
      <c r="C26" s="141" t="s">
        <v>159</v>
      </c>
      <c r="D26" s="339" t="e">
        <f>'Test-1'!$AA38</f>
        <v>#DIV/0!</v>
      </c>
      <c r="E26" s="339" t="e">
        <f>'Test-2'!$AA38</f>
        <v>#DIV/0!</v>
      </c>
      <c r="F26" s="339" t="e">
        <f>'Test-3'!$AA38</f>
        <v>#DIV/0!</v>
      </c>
      <c r="G26" s="339" t="e">
        <f>'Test-4'!$AA38</f>
        <v>#DIV/0!</v>
      </c>
      <c r="H26" s="339" t="e">
        <f>'Test-5'!$AA38</f>
        <v>#DIV/0!</v>
      </c>
      <c r="I26" s="339" t="e">
        <f>'Test-6'!$AA38</f>
        <v>#DIV/0!</v>
      </c>
      <c r="J26" s="339" t="e">
        <f>'Test-7'!$AA38</f>
        <v>#DIV/0!</v>
      </c>
      <c r="K26" s="339" t="e">
        <f>'Test-8'!$AA38</f>
        <v>#DIV/0!</v>
      </c>
      <c r="L26" s="339" t="e">
        <f>'Test-9'!$AA38</f>
        <v>#DIV/0!</v>
      </c>
      <c r="M26" s="339" t="e">
        <f>'Test-10'!$AA38</f>
        <v>#DIV/0!</v>
      </c>
      <c r="N26" s="504" t="e">
        <f t="shared" si="3"/>
        <v>#DIV/0!</v>
      </c>
      <c r="O26" s="340" t="e">
        <f t="shared" si="4"/>
        <v>#DIV/0!</v>
      </c>
      <c r="P26" s="546" t="e">
        <f t="shared" si="5"/>
        <v>#DIV/0!</v>
      </c>
      <c r="Q26" s="128"/>
    </row>
    <row r="27" spans="1:18" x14ac:dyDescent="0.15">
      <c r="A27" s="125"/>
      <c r="B27" s="135" t="s">
        <v>196</v>
      </c>
      <c r="C27" s="141" t="s">
        <v>172</v>
      </c>
      <c r="D27" s="339" t="e">
        <f>'Test-1'!$AA39</f>
        <v>#DIV/0!</v>
      </c>
      <c r="E27" s="339" t="e">
        <f>'Test-2'!$AA39</f>
        <v>#DIV/0!</v>
      </c>
      <c r="F27" s="339" t="e">
        <f>'Test-3'!$AA39</f>
        <v>#DIV/0!</v>
      </c>
      <c r="G27" s="339" t="e">
        <f>'Test-4'!$AA39</f>
        <v>#DIV/0!</v>
      </c>
      <c r="H27" s="339" t="e">
        <f>'Test-5'!$AA39</f>
        <v>#DIV/0!</v>
      </c>
      <c r="I27" s="339" t="e">
        <f>'Test-6'!$AA39</f>
        <v>#DIV/0!</v>
      </c>
      <c r="J27" s="339" t="e">
        <f>'Test-7'!$AA39</f>
        <v>#DIV/0!</v>
      </c>
      <c r="K27" s="339" t="e">
        <f>'Test-8'!$AA39</f>
        <v>#DIV/0!</v>
      </c>
      <c r="L27" s="339" t="e">
        <f>'Test-9'!$AA39</f>
        <v>#DIV/0!</v>
      </c>
      <c r="M27" s="339" t="e">
        <f>'Test-10'!$AA39</f>
        <v>#DIV/0!</v>
      </c>
      <c r="N27" s="504" t="e">
        <f t="shared" si="3"/>
        <v>#DIV/0!</v>
      </c>
      <c r="O27" s="340" t="e">
        <f t="shared" si="4"/>
        <v>#DIV/0!</v>
      </c>
      <c r="P27" s="546" t="e">
        <f t="shared" si="5"/>
        <v>#DIV/0!</v>
      </c>
      <c r="Q27" s="128"/>
      <c r="R27" s="142"/>
    </row>
    <row r="28" spans="1:18" x14ac:dyDescent="0.15">
      <c r="A28" s="125"/>
      <c r="B28" s="138" t="s">
        <v>163</v>
      </c>
      <c r="C28" s="139" t="s">
        <v>164</v>
      </c>
      <c r="D28" s="342" t="e">
        <f>'Test-1'!$AA40</f>
        <v>#DIV/0!</v>
      </c>
      <c r="E28" s="342" t="e">
        <f>'Test-2'!$AA40</f>
        <v>#DIV/0!</v>
      </c>
      <c r="F28" s="342" t="e">
        <f>'Test-3'!$AA40</f>
        <v>#DIV/0!</v>
      </c>
      <c r="G28" s="342" t="e">
        <f>'Test-4'!$AA40</f>
        <v>#DIV/0!</v>
      </c>
      <c r="H28" s="342" t="e">
        <f>'Test-5'!$AA40</f>
        <v>#DIV/0!</v>
      </c>
      <c r="I28" s="342" t="e">
        <f>'Test-6'!$AA40</f>
        <v>#DIV/0!</v>
      </c>
      <c r="J28" s="342" t="e">
        <f>'Test-7'!$AA40</f>
        <v>#DIV/0!</v>
      </c>
      <c r="K28" s="342" t="e">
        <f>'Test-8'!$AA40</f>
        <v>#DIV/0!</v>
      </c>
      <c r="L28" s="342" t="e">
        <f>'Test-9'!$AA40</f>
        <v>#DIV/0!</v>
      </c>
      <c r="M28" s="342" t="e">
        <f>'Test-10'!$AA40</f>
        <v>#DIV/0!</v>
      </c>
      <c r="N28" s="505" t="e">
        <f t="shared" si="3"/>
        <v>#DIV/0!</v>
      </c>
      <c r="O28" s="343" t="e">
        <f t="shared" si="4"/>
        <v>#DIV/0!</v>
      </c>
      <c r="P28" s="547" t="e">
        <f t="shared" si="5"/>
        <v>#DIV/0!</v>
      </c>
      <c r="Q28" s="128"/>
      <c r="R28" s="142"/>
    </row>
    <row r="29" spans="1:18" x14ac:dyDescent="0.15">
      <c r="A29" s="125"/>
      <c r="B29" s="126"/>
      <c r="C29" s="129"/>
      <c r="D29" s="122"/>
      <c r="E29" s="122"/>
      <c r="F29" s="122"/>
      <c r="G29" s="122"/>
      <c r="H29" s="122"/>
      <c r="I29" s="122"/>
      <c r="J29" s="122"/>
      <c r="K29" s="122"/>
      <c r="L29" s="122"/>
      <c r="M29" s="122"/>
      <c r="N29" s="344"/>
      <c r="P29" s="320"/>
      <c r="Q29" s="128"/>
      <c r="R29" s="142"/>
    </row>
    <row r="30" spans="1:18" x14ac:dyDescent="0.15">
      <c r="A30" s="125"/>
      <c r="B30" s="130" t="s">
        <v>198</v>
      </c>
      <c r="C30" s="131" t="s">
        <v>90</v>
      </c>
      <c r="D30" s="345" t="s">
        <v>188</v>
      </c>
      <c r="E30" s="345" t="s">
        <v>189</v>
      </c>
      <c r="F30" s="345" t="s">
        <v>190</v>
      </c>
      <c r="G30" s="132" t="s">
        <v>1005</v>
      </c>
      <c r="H30" s="132" t="s">
        <v>1006</v>
      </c>
      <c r="I30" s="132" t="s">
        <v>1007</v>
      </c>
      <c r="J30" s="132" t="s">
        <v>1008</v>
      </c>
      <c r="K30" s="132" t="s">
        <v>1009</v>
      </c>
      <c r="L30" s="132" t="s">
        <v>1010</v>
      </c>
      <c r="M30" s="132" t="s">
        <v>1011</v>
      </c>
      <c r="N30" s="364" t="s">
        <v>191</v>
      </c>
      <c r="O30" s="365" t="s">
        <v>192</v>
      </c>
      <c r="P30" s="321" t="s">
        <v>193</v>
      </c>
      <c r="Q30" s="128"/>
      <c r="R30" s="142"/>
    </row>
    <row r="31" spans="1:18" x14ac:dyDescent="0.15">
      <c r="A31" s="125"/>
      <c r="B31" s="135" t="s">
        <v>153</v>
      </c>
      <c r="C31" s="129" t="s">
        <v>154</v>
      </c>
      <c r="D31" s="339" t="e">
        <f>'Test-1'!$AP35</f>
        <v>#DIV/0!</v>
      </c>
      <c r="E31" s="339" t="e">
        <f>'Test-2'!$AP35</f>
        <v>#DIV/0!</v>
      </c>
      <c r="F31" s="339" t="e">
        <f>'Test-3'!$AP35</f>
        <v>#DIV/0!</v>
      </c>
      <c r="G31" s="339" t="e">
        <f>'Test-4'!$AP35</f>
        <v>#DIV/0!</v>
      </c>
      <c r="H31" s="339" t="e">
        <f>'Test-5'!$AP35</f>
        <v>#DIV/0!</v>
      </c>
      <c r="I31" s="339" t="e">
        <f>'Test-6'!$AP35</f>
        <v>#DIV/0!</v>
      </c>
      <c r="J31" s="339" t="e">
        <f>'Test-7'!$AP35</f>
        <v>#DIV/0!</v>
      </c>
      <c r="K31" s="339" t="e">
        <f>'Test-8'!$AP35</f>
        <v>#DIV/0!</v>
      </c>
      <c r="L31" s="339" t="e">
        <f>'Test-9'!$AP35</f>
        <v>#DIV/0!</v>
      </c>
      <c r="M31" s="339" t="e">
        <f>'Test-10'!$AP35</f>
        <v>#DIV/0!</v>
      </c>
      <c r="N31" s="497" t="e">
        <f t="shared" ref="N31:N36" si="6">SUMIF(D31:M31,"&gt;0",D31:M31)/COUNTIF(D31:M31,"&gt;0")</f>
        <v>#DIV/0!</v>
      </c>
      <c r="O31" s="366" t="e">
        <f t="shared" ref="O31:O36" si="7">IF(PRODUCT(D31:M31)=0,0,STDEV(D31:M31))</f>
        <v>#DIV/0!</v>
      </c>
      <c r="P31" s="546" t="e">
        <f t="shared" ref="P31:P36" si="8">IF(N31=0,0,O31/N31)</f>
        <v>#DIV/0!</v>
      </c>
      <c r="Q31" s="128"/>
      <c r="R31" s="142"/>
    </row>
    <row r="32" spans="1:18" x14ac:dyDescent="0.15">
      <c r="A32" s="125"/>
      <c r="B32" s="135" t="s">
        <v>149</v>
      </c>
      <c r="C32" s="129" t="s">
        <v>113</v>
      </c>
      <c r="D32" s="341" t="e">
        <f>'Test-1'!$AP34</f>
        <v>#DIV/0!</v>
      </c>
      <c r="E32" s="341" t="e">
        <f>'Test-2'!$AP34</f>
        <v>#DIV/0!</v>
      </c>
      <c r="F32" s="341" t="e">
        <f>'Test-3'!$AP34</f>
        <v>#DIV/0!</v>
      </c>
      <c r="G32" s="341" t="e">
        <f>'Test-4'!$AP34</f>
        <v>#DIV/0!</v>
      </c>
      <c r="H32" s="341" t="e">
        <f>'Test-5'!$AP34</f>
        <v>#DIV/0!</v>
      </c>
      <c r="I32" s="341" t="e">
        <f>'Test-6'!$AP34</f>
        <v>#DIV/0!</v>
      </c>
      <c r="J32" s="341" t="e">
        <f>'Test-7'!$AP34</f>
        <v>#DIV/0!</v>
      </c>
      <c r="K32" s="341" t="e">
        <f>'Test-8'!$AP34</f>
        <v>#DIV/0!</v>
      </c>
      <c r="L32" s="341" t="e">
        <f>'Test-9'!$AP34</f>
        <v>#DIV/0!</v>
      </c>
      <c r="M32" s="341" t="e">
        <f>'Test-10'!$AP34</f>
        <v>#DIV/0!</v>
      </c>
      <c r="N32" s="501" t="e">
        <f t="shared" si="6"/>
        <v>#DIV/0!</v>
      </c>
      <c r="O32" s="550" t="e">
        <f t="shared" si="7"/>
        <v>#DIV/0!</v>
      </c>
      <c r="P32" s="546" t="e">
        <f t="shared" si="8"/>
        <v>#DIV/0!</v>
      </c>
      <c r="Q32" s="128"/>
      <c r="R32" s="142"/>
    </row>
    <row r="33" spans="1:18" x14ac:dyDescent="0.15">
      <c r="A33" s="125"/>
      <c r="B33" s="135" t="s">
        <v>158</v>
      </c>
      <c r="C33" s="129" t="s">
        <v>159</v>
      </c>
      <c r="D33" s="339" t="e">
        <f>'Test-1'!$AP36</f>
        <v>#DIV/0!</v>
      </c>
      <c r="E33" s="339" t="e">
        <f>'Test-2'!$AP36</f>
        <v>#DIV/0!</v>
      </c>
      <c r="F33" s="339" t="e">
        <f>'Test-3'!$AP36</f>
        <v>#DIV/0!</v>
      </c>
      <c r="G33" s="339" t="e">
        <f>'Test-4'!$AP36</f>
        <v>#DIV/0!</v>
      </c>
      <c r="H33" s="339" t="e">
        <f>'Test-5'!$AP36</f>
        <v>#DIV/0!</v>
      </c>
      <c r="I33" s="339" t="e">
        <f>'Test-6'!$AP36</f>
        <v>#DIV/0!</v>
      </c>
      <c r="J33" s="339" t="e">
        <f>'Test-7'!$AP36</f>
        <v>#DIV/0!</v>
      </c>
      <c r="K33" s="339" t="e">
        <f>'Test-8'!$AP36</f>
        <v>#DIV/0!</v>
      </c>
      <c r="L33" s="339" t="e">
        <f>'Test-9'!$AP36</f>
        <v>#DIV/0!</v>
      </c>
      <c r="M33" s="339" t="e">
        <f>'Test-10'!$AP36</f>
        <v>#DIV/0!</v>
      </c>
      <c r="N33" s="498" t="e">
        <f t="shared" si="6"/>
        <v>#DIV/0!</v>
      </c>
      <c r="O33" s="367" t="e">
        <f t="shared" si="7"/>
        <v>#DIV/0!</v>
      </c>
      <c r="P33" s="546" t="e">
        <f t="shared" si="8"/>
        <v>#DIV/0!</v>
      </c>
      <c r="Q33" s="128"/>
      <c r="R33" s="142"/>
    </row>
    <row r="34" spans="1:18" x14ac:dyDescent="0.15">
      <c r="A34" s="125"/>
      <c r="B34" s="135" t="s">
        <v>196</v>
      </c>
      <c r="C34" s="129" t="s">
        <v>172</v>
      </c>
      <c r="D34" s="339" t="e">
        <f>'Test-1'!$AP39</f>
        <v>#DIV/0!</v>
      </c>
      <c r="E34" s="339" t="e">
        <f>'Test-2'!$AP39</f>
        <v>#DIV/0!</v>
      </c>
      <c r="F34" s="339" t="e">
        <f>'Test-3'!$AP39</f>
        <v>#DIV/0!</v>
      </c>
      <c r="G34" s="339" t="e">
        <f>'Test-4'!$AP39</f>
        <v>#DIV/0!</v>
      </c>
      <c r="H34" s="339" t="e">
        <f>'Test-5'!$AP39</f>
        <v>#DIV/0!</v>
      </c>
      <c r="I34" s="339" t="e">
        <f>'Test-6'!$AP39</f>
        <v>#DIV/0!</v>
      </c>
      <c r="J34" s="339" t="e">
        <f>'Test-7'!$AP39</f>
        <v>#DIV/0!</v>
      </c>
      <c r="K34" s="339" t="e">
        <f>'Test-8'!$AP39</f>
        <v>#DIV/0!</v>
      </c>
      <c r="L34" s="339" t="e">
        <f>'Test-9'!$AP39</f>
        <v>#DIV/0!</v>
      </c>
      <c r="M34" s="339" t="e">
        <f>'Test-10'!$AP39</f>
        <v>#DIV/0!</v>
      </c>
      <c r="N34" s="498" t="e">
        <f t="shared" si="6"/>
        <v>#DIV/0!</v>
      </c>
      <c r="O34" s="367" t="e">
        <f t="shared" si="7"/>
        <v>#DIV/0!</v>
      </c>
      <c r="P34" s="546" t="e">
        <f t="shared" si="8"/>
        <v>#DIV/0!</v>
      </c>
      <c r="Q34" s="128"/>
      <c r="R34" s="142"/>
    </row>
    <row r="35" spans="1:18" x14ac:dyDescent="0.15">
      <c r="A35" s="125"/>
      <c r="B35" s="135" t="s">
        <v>163</v>
      </c>
      <c r="C35" s="129" t="s">
        <v>164</v>
      </c>
      <c r="D35" s="339" t="e">
        <f>'Test-1'!$AP37</f>
        <v>#DIV/0!</v>
      </c>
      <c r="E35" s="339" t="e">
        <f>'Test-2'!$AP37</f>
        <v>#DIV/0!</v>
      </c>
      <c r="F35" s="339" t="e">
        <f>'Test-3'!$AP37</f>
        <v>#DIV/0!</v>
      </c>
      <c r="G35" s="339" t="e">
        <f>'Test-4'!$AP37</f>
        <v>#DIV/0!</v>
      </c>
      <c r="H35" s="339" t="e">
        <f>'Test-5'!$AP37</f>
        <v>#DIV/0!</v>
      </c>
      <c r="I35" s="339" t="e">
        <f>'Test-6'!$AP37</f>
        <v>#DIV/0!</v>
      </c>
      <c r="J35" s="339" t="e">
        <f>'Test-7'!$AP37</f>
        <v>#DIV/0!</v>
      </c>
      <c r="K35" s="339" t="e">
        <f>'Test-8'!$AP37</f>
        <v>#DIV/0!</v>
      </c>
      <c r="L35" s="339" t="e">
        <f>'Test-9'!$AP37</f>
        <v>#DIV/0!</v>
      </c>
      <c r="M35" s="339" t="e">
        <f>'Test-10'!$AP37</f>
        <v>#DIV/0!</v>
      </c>
      <c r="N35" s="498" t="e">
        <f t="shared" si="6"/>
        <v>#DIV/0!</v>
      </c>
      <c r="O35" s="367" t="e">
        <f t="shared" si="7"/>
        <v>#DIV/0!</v>
      </c>
      <c r="P35" s="546" t="e">
        <f t="shared" si="8"/>
        <v>#DIV/0!</v>
      </c>
      <c r="Q35" s="128"/>
      <c r="R35" s="142"/>
    </row>
    <row r="36" spans="1:18" x14ac:dyDescent="0.15">
      <c r="A36" s="125"/>
      <c r="B36" s="138" t="s">
        <v>169</v>
      </c>
      <c r="C36" s="139" t="s">
        <v>92</v>
      </c>
      <c r="D36" s="348" t="e">
        <f>'Test-1'!$AP38</f>
        <v>#DIV/0!</v>
      </c>
      <c r="E36" s="348" t="e">
        <f>'Test-2'!$AP38</f>
        <v>#DIV/0!</v>
      </c>
      <c r="F36" s="348" t="e">
        <f>'Test-3'!$AP38</f>
        <v>#DIV/0!</v>
      </c>
      <c r="G36" s="348" t="e">
        <f>'Test-4'!$AP38</f>
        <v>#DIV/0!</v>
      </c>
      <c r="H36" s="348" t="e">
        <f>'Test-5'!$AP38</f>
        <v>#DIV/0!</v>
      </c>
      <c r="I36" s="348" t="e">
        <f>'Test-6'!$AP38</f>
        <v>#DIV/0!</v>
      </c>
      <c r="J36" s="348" t="e">
        <f>'Test-7'!$AP38</f>
        <v>#DIV/0!</v>
      </c>
      <c r="K36" s="348" t="e">
        <f>'Test-8'!$AP38</f>
        <v>#DIV/0!</v>
      </c>
      <c r="L36" s="348" t="e">
        <f>'Test-9'!$AP38</f>
        <v>#DIV/0!</v>
      </c>
      <c r="M36" s="348" t="e">
        <f>'Test-10'!$AP38</f>
        <v>#DIV/0!</v>
      </c>
      <c r="N36" s="502" t="e">
        <f t="shared" si="6"/>
        <v>#DIV/0!</v>
      </c>
      <c r="O36" s="368" t="e">
        <f t="shared" si="7"/>
        <v>#DIV/0!</v>
      </c>
      <c r="P36" s="547" t="e">
        <f t="shared" si="8"/>
        <v>#DIV/0!</v>
      </c>
      <c r="Q36" s="128"/>
      <c r="R36" s="142"/>
    </row>
    <row r="37" spans="1:18" x14ac:dyDescent="0.15">
      <c r="A37" s="125"/>
      <c r="B37" s="136"/>
      <c r="C37" s="129"/>
      <c r="D37" s="143"/>
      <c r="E37" s="143"/>
      <c r="F37" s="143"/>
      <c r="G37" s="143"/>
      <c r="H37" s="143"/>
      <c r="I37" s="143"/>
      <c r="J37" s="143"/>
      <c r="K37" s="143"/>
      <c r="L37" s="143"/>
      <c r="M37" s="143"/>
      <c r="N37" s="144"/>
      <c r="O37" s="145"/>
      <c r="P37" s="320"/>
      <c r="Q37" s="128"/>
      <c r="R37" s="142"/>
    </row>
    <row r="38" spans="1:18" x14ac:dyDescent="0.15">
      <c r="A38" s="125"/>
      <c r="B38" s="293" t="s">
        <v>199</v>
      </c>
      <c r="C38" s="294"/>
      <c r="D38" s="345" t="s">
        <v>188</v>
      </c>
      <c r="E38" s="345" t="s">
        <v>189</v>
      </c>
      <c r="F38" s="345" t="s">
        <v>190</v>
      </c>
      <c r="G38" s="132" t="s">
        <v>1005</v>
      </c>
      <c r="H38" s="132" t="s">
        <v>1006</v>
      </c>
      <c r="I38" s="132" t="s">
        <v>1007</v>
      </c>
      <c r="J38" s="132" t="s">
        <v>1008</v>
      </c>
      <c r="K38" s="132" t="s">
        <v>1009</v>
      </c>
      <c r="L38" s="132" t="s">
        <v>1010</v>
      </c>
      <c r="M38" s="132" t="s">
        <v>1011</v>
      </c>
      <c r="N38" s="364" t="s">
        <v>191</v>
      </c>
      <c r="O38" s="365" t="s">
        <v>192</v>
      </c>
      <c r="P38" s="321" t="s">
        <v>193</v>
      </c>
      <c r="Q38" s="128"/>
      <c r="R38" s="142"/>
    </row>
    <row r="39" spans="1:18" x14ac:dyDescent="0.15">
      <c r="A39" s="125"/>
      <c r="B39" s="135" t="s">
        <v>200</v>
      </c>
      <c r="C39" s="129" t="s">
        <v>20</v>
      </c>
      <c r="D39" s="339" t="e">
        <f>'Test-1'!$AP40</f>
        <v>#DIV/0!</v>
      </c>
      <c r="E39" s="339" t="e">
        <f>'Test-2'!$AP40</f>
        <v>#DIV/0!</v>
      </c>
      <c r="F39" s="339" t="e">
        <f>'Test-3'!$AP40</f>
        <v>#DIV/0!</v>
      </c>
      <c r="G39" s="339" t="e">
        <f>'Test-4'!$AP40</f>
        <v>#DIV/0!</v>
      </c>
      <c r="H39" s="339" t="e">
        <f>'Test-5'!$AP40</f>
        <v>#DIV/0!</v>
      </c>
      <c r="I39" s="339" t="e">
        <f>'Test-6'!$AP40</f>
        <v>#DIV/0!</v>
      </c>
      <c r="J39" s="339" t="e">
        <f>'Test-7'!$AP40</f>
        <v>#DIV/0!</v>
      </c>
      <c r="K39" s="339" t="e">
        <f>'Test-8'!$AP40</f>
        <v>#DIV/0!</v>
      </c>
      <c r="L39" s="339" t="e">
        <f>'Test-9'!$AP40</f>
        <v>#DIV/0!</v>
      </c>
      <c r="M39" s="339" t="e">
        <f>'Test-10'!$AP40</f>
        <v>#DIV/0!</v>
      </c>
      <c r="N39" s="497" t="e">
        <f>SUMIF(D39:M39,"&gt;0",D39:M39)/COUNTIF(D39:M39,"&gt;0")</f>
        <v>#DIV/0!</v>
      </c>
      <c r="O39" s="366" t="e">
        <f>IF(PRODUCT(D39:M39)=0,0,STDEV(D39:M39))</f>
        <v>#DIV/0!</v>
      </c>
      <c r="P39" s="546" t="e">
        <f>IF(N39=0,0,O39/N39)</f>
        <v>#DIV/0!</v>
      </c>
      <c r="Q39" s="128"/>
      <c r="R39" s="142"/>
    </row>
    <row r="40" spans="1:18" x14ac:dyDescent="0.15">
      <c r="A40" s="125"/>
      <c r="B40" s="135" t="s">
        <v>201</v>
      </c>
      <c r="C40" s="155" t="s">
        <v>182</v>
      </c>
      <c r="D40" s="339" t="e">
        <f>'Test-1'!$AP41</f>
        <v>#DIV/0!</v>
      </c>
      <c r="E40" s="339" t="e">
        <f>'Test-2'!$AP41</f>
        <v>#DIV/0!</v>
      </c>
      <c r="F40" s="339" t="e">
        <f>'Test-3'!$AP41</f>
        <v>#DIV/0!</v>
      </c>
      <c r="G40" s="339" t="e">
        <f>'Test-4'!$AP41</f>
        <v>#DIV/0!</v>
      </c>
      <c r="H40" s="339" t="e">
        <f>'Test-5'!$AP41</f>
        <v>#DIV/0!</v>
      </c>
      <c r="I40" s="339" t="e">
        <f>'Test-6'!$AP41</f>
        <v>#DIV/0!</v>
      </c>
      <c r="J40" s="339" t="e">
        <f>'Test-7'!$AP41</f>
        <v>#DIV/0!</v>
      </c>
      <c r="K40" s="339" t="e">
        <f>'Test-8'!$AP41</f>
        <v>#DIV/0!</v>
      </c>
      <c r="L40" s="339" t="e">
        <f>'Test-9'!$AP41</f>
        <v>#DIV/0!</v>
      </c>
      <c r="M40" s="339" t="e">
        <f>'Test-10'!$AP41</f>
        <v>#DIV/0!</v>
      </c>
      <c r="N40" s="498" t="e">
        <f>SUMIF(D40:M40,"&gt;0",D40:M40)/COUNTIF(D40:M40,"&gt;0")</f>
        <v>#DIV/0!</v>
      </c>
      <c r="O40" s="367" t="e">
        <f>IF(PRODUCT(D40:M40)=0,0,STDEV(D40:M40))</f>
        <v>#DIV/0!</v>
      </c>
      <c r="P40" s="546" t="e">
        <f>IF(N40=0,0,O40/N40)</f>
        <v>#DIV/0!</v>
      </c>
      <c r="Q40" s="128"/>
      <c r="R40" s="142"/>
    </row>
    <row r="41" spans="1:18" ht="12" customHeight="1" x14ac:dyDescent="0.15">
      <c r="A41" s="125"/>
      <c r="B41" s="275" t="s">
        <v>822</v>
      </c>
      <c r="C41" s="155" t="s">
        <v>20</v>
      </c>
      <c r="D41" s="344" t="e">
        <f>'Test-1'!W77</f>
        <v>#DIV/0!</v>
      </c>
      <c r="E41" s="344" t="e">
        <f>'Test-2'!W77</f>
        <v>#DIV/0!</v>
      </c>
      <c r="F41" s="344" t="e">
        <f>'Test-3'!W77</f>
        <v>#DIV/0!</v>
      </c>
      <c r="G41" s="488" t="e">
        <f>'Test-4'!W77</f>
        <v>#DIV/0!</v>
      </c>
      <c r="H41" s="488" t="e">
        <f>'Test-5'!W77</f>
        <v>#DIV/0!</v>
      </c>
      <c r="I41" s="488" t="e">
        <f>'Test-6'!W77</f>
        <v>#DIV/0!</v>
      </c>
      <c r="J41" s="488" t="e">
        <f>'Test-7'!W77</f>
        <v>#DIV/0!</v>
      </c>
      <c r="K41" s="488" t="e">
        <f>'Test-8'!W77</f>
        <v>#DIV/0!</v>
      </c>
      <c r="L41" s="488" t="e">
        <f>'Test-9'!W77</f>
        <v>#DIV/0!</v>
      </c>
      <c r="M41" s="488" t="e">
        <f>'Test-10'!W77</f>
        <v>#DIV/0!</v>
      </c>
      <c r="N41" s="499" t="e">
        <f>SUMIF(D41:M41,"&gt;0",D41:M41)/COUNTIF(D41:M41,"&gt;0")</f>
        <v>#DIV/0!</v>
      </c>
      <c r="O41" s="548" t="e">
        <f>IF(PRODUCT(D41:M41)=0,0,STDEV(D41:M41))</f>
        <v>#DIV/0!</v>
      </c>
      <c r="P41" s="546" t="e">
        <f>IF(N41=0,0,O41/N41)</f>
        <v>#DIV/0!</v>
      </c>
      <c r="Q41" s="128"/>
    </row>
    <row r="42" spans="1:18" ht="14.25" customHeight="1" x14ac:dyDescent="0.15">
      <c r="B42" s="276" t="s">
        <v>823</v>
      </c>
      <c r="C42" s="277" t="s">
        <v>20</v>
      </c>
      <c r="D42" s="349" t="e">
        <f>'Test-1'!W78</f>
        <v>#DIV/0!</v>
      </c>
      <c r="E42" s="349" t="e">
        <f>'Test-2'!W78</f>
        <v>#DIV/0!</v>
      </c>
      <c r="F42" s="349" t="e">
        <f>'Test-3'!W78</f>
        <v>#DIV/0!</v>
      </c>
      <c r="G42" s="489" t="e">
        <f>'Test-4'!W78</f>
        <v>#DIV/0!</v>
      </c>
      <c r="H42" s="489" t="e">
        <f>'Test-5'!W78</f>
        <v>#DIV/0!</v>
      </c>
      <c r="I42" s="489" t="e">
        <f>'Test-6'!W78</f>
        <v>#DIV/0!</v>
      </c>
      <c r="J42" s="489" t="e">
        <f>'Test-7'!W78</f>
        <v>#DIV/0!</v>
      </c>
      <c r="K42" s="489" t="e">
        <f>'Test-8'!W78</f>
        <v>#DIV/0!</v>
      </c>
      <c r="L42" s="489" t="e">
        <f>'Test-9'!W78</f>
        <v>#DIV/0!</v>
      </c>
      <c r="M42" s="489" t="e">
        <f>'Test-10'!W78</f>
        <v>#DIV/0!</v>
      </c>
      <c r="N42" s="500" t="e">
        <f>SUMIF(D42:M42,"&gt;0",D42:M42)/COUNTIF(D42:M42,"&gt;0")</f>
        <v>#DIV/0!</v>
      </c>
      <c r="O42" s="549" t="e">
        <f>IF(PRODUCT(D42:M42)=0,0,STDEV(D42:M42))</f>
        <v>#DIV/0!</v>
      </c>
      <c r="P42" s="547" t="e">
        <f>IF(N42=0,0,O42/N42)</f>
        <v>#DIV/0!</v>
      </c>
    </row>
    <row r="43" spans="1:18" ht="13.5" customHeight="1" x14ac:dyDescent="0.15">
      <c r="B43" s="136"/>
      <c r="C43" s="129"/>
      <c r="D43" s="143"/>
      <c r="E43" s="143"/>
      <c r="F43" s="143"/>
      <c r="G43" s="143"/>
      <c r="H43" s="143"/>
      <c r="I43" s="143"/>
      <c r="J43" s="143"/>
      <c r="K43" s="143"/>
      <c r="L43" s="143"/>
      <c r="M43" s="143"/>
      <c r="N43" s="144"/>
      <c r="O43" s="145"/>
      <c r="P43" s="317"/>
    </row>
    <row r="44" spans="1:18" ht="14.25" customHeight="1" x14ac:dyDescent="0.15">
      <c r="B44" s="278" t="s">
        <v>867</v>
      </c>
      <c r="C44" s="279" t="s">
        <v>90</v>
      </c>
      <c r="D44" s="280" t="s">
        <v>188</v>
      </c>
      <c r="E44" s="280" t="s">
        <v>189</v>
      </c>
      <c r="F44" s="280" t="s">
        <v>190</v>
      </c>
      <c r="G44" s="132" t="s">
        <v>1005</v>
      </c>
      <c r="H44" s="132" t="s">
        <v>1006</v>
      </c>
      <c r="I44" s="132" t="s">
        <v>1007</v>
      </c>
      <c r="J44" s="132" t="s">
        <v>1008</v>
      </c>
      <c r="K44" s="132" t="s">
        <v>1009</v>
      </c>
      <c r="L44" s="132" t="s">
        <v>1010</v>
      </c>
      <c r="M44" s="132" t="s">
        <v>1011</v>
      </c>
      <c r="N44" s="281" t="s">
        <v>191</v>
      </c>
      <c r="O44" s="282" t="s">
        <v>192</v>
      </c>
      <c r="P44" s="322" t="s">
        <v>193</v>
      </c>
    </row>
    <row r="45" spans="1:18" ht="14.25" customHeight="1" x14ac:dyDescent="0.15">
      <c r="B45" s="273" t="s">
        <v>835</v>
      </c>
      <c r="C45" s="274" t="s">
        <v>839</v>
      </c>
      <c r="D45" s="301" t="e">
        <f>'Test-1'!AE44</f>
        <v>#DIV/0!</v>
      </c>
      <c r="E45" s="301" t="e">
        <f>'Test-2'!AE44</f>
        <v>#DIV/0!</v>
      </c>
      <c r="F45" s="301" t="e">
        <f>'Test-3'!AE44</f>
        <v>#DIV/0!</v>
      </c>
      <c r="G45" s="301" t="e">
        <f>'Test-4'!AE44</f>
        <v>#DIV/0!</v>
      </c>
      <c r="H45" s="301" t="e">
        <f>'Test-5'!AE44</f>
        <v>#DIV/0!</v>
      </c>
      <c r="I45" s="301" t="e">
        <f>'Test-6'!AE44</f>
        <v>#DIV/0!</v>
      </c>
      <c r="J45" s="301" t="e">
        <f>'Test-7'!AE44</f>
        <v>#DIV/0!</v>
      </c>
      <c r="K45" s="301" t="e">
        <f>'Test-8'!AE44</f>
        <v>#DIV/0!</v>
      </c>
      <c r="L45" s="301" t="e">
        <f>'Test-9'!AE44</f>
        <v>#DIV/0!</v>
      </c>
      <c r="M45" s="301" t="e">
        <f>'Test-10'!AE44</f>
        <v>#DIV/0!</v>
      </c>
      <c r="N45" s="492" t="e">
        <f t="shared" ref="N45:N52" si="9">SUMIF(D45:M45,"&gt;0",D45:M45)/COUNTIF(D45:M45,"&gt;0")</f>
        <v>#DIV/0!</v>
      </c>
      <c r="O45" s="542" t="e">
        <f t="shared" ref="O45:O52" si="10">IF(PRODUCT(D45:M45)=0,0,STDEV(D45:M45))</f>
        <v>#DIV/0!</v>
      </c>
      <c r="P45" s="545" t="e">
        <f t="shared" ref="P45:P52" si="11">IF(N45=0,0,O45/N45)</f>
        <v>#DIV/0!</v>
      </c>
    </row>
    <row r="46" spans="1:18" ht="14.25" customHeight="1" x14ac:dyDescent="0.15">
      <c r="B46" s="135" t="s">
        <v>836</v>
      </c>
      <c r="C46" s="155" t="s">
        <v>842</v>
      </c>
      <c r="D46" s="302" t="e">
        <f>'Test-1'!AE45</f>
        <v>#DIV/0!</v>
      </c>
      <c r="E46" s="302" t="e">
        <f>'Test-2'!AE45</f>
        <v>#DIV/0!</v>
      </c>
      <c r="F46" s="302" t="e">
        <f>'Test-3'!AE45</f>
        <v>#DIV/0!</v>
      </c>
      <c r="G46" s="302" t="e">
        <f>'Test-4'!AE45</f>
        <v>#DIV/0!</v>
      </c>
      <c r="H46" s="302" t="e">
        <f>'Test-5'!AE45</f>
        <v>#DIV/0!</v>
      </c>
      <c r="I46" s="302" t="e">
        <f>'Test-6'!AE45</f>
        <v>#DIV/0!</v>
      </c>
      <c r="J46" s="302" t="e">
        <f>'Test-7'!AE45</f>
        <v>#DIV/0!</v>
      </c>
      <c r="K46" s="302" t="e">
        <f>'Test-8'!AE45</f>
        <v>#DIV/0!</v>
      </c>
      <c r="L46" s="302" t="e">
        <f>'Test-9'!AE45</f>
        <v>#DIV/0!</v>
      </c>
      <c r="M46" s="302" t="e">
        <f>'Test-10'!AE45</f>
        <v>#DIV/0!</v>
      </c>
      <c r="N46" s="493" t="e">
        <f t="shared" si="9"/>
        <v>#DIV/0!</v>
      </c>
      <c r="O46" s="544" t="e">
        <f t="shared" si="10"/>
        <v>#DIV/0!</v>
      </c>
      <c r="P46" s="546" t="e">
        <f t="shared" si="11"/>
        <v>#DIV/0!</v>
      </c>
    </row>
    <row r="47" spans="1:18" x14ac:dyDescent="0.15">
      <c r="A47" s="268"/>
      <c r="B47" s="275" t="s">
        <v>854</v>
      </c>
      <c r="C47" s="155" t="s">
        <v>837</v>
      </c>
      <c r="D47" s="140" t="e">
        <f>'Test-1'!AE46</f>
        <v>#DIV/0!</v>
      </c>
      <c r="E47" s="140" t="e">
        <f>'Test-2'!AE46</f>
        <v>#DIV/0!</v>
      </c>
      <c r="F47" s="140" t="e">
        <f>'Test-3'!AE46</f>
        <v>#DIV/0!</v>
      </c>
      <c r="G47" s="140" t="e">
        <f>'Test-4'!AE46</f>
        <v>#DIV/0!</v>
      </c>
      <c r="H47" s="140" t="e">
        <f>'Test-5'!AE46</f>
        <v>#DIV/0!</v>
      </c>
      <c r="I47" s="140" t="e">
        <f>'Test-6'!AE46</f>
        <v>#DIV/0!</v>
      </c>
      <c r="J47" s="140" t="e">
        <f>'Test-7'!AE46</f>
        <v>#DIV/0!</v>
      </c>
      <c r="K47" s="140" t="e">
        <f>'Test-8'!AE46</f>
        <v>#DIV/0!</v>
      </c>
      <c r="L47" s="140" t="e">
        <f>'Test-9'!AE46</f>
        <v>#DIV/0!</v>
      </c>
      <c r="M47" s="140" t="e">
        <f>'Test-10'!AE46</f>
        <v>#DIV/0!</v>
      </c>
      <c r="N47" s="494" t="e">
        <f t="shared" si="9"/>
        <v>#DIV/0!</v>
      </c>
      <c r="O47" s="544" t="e">
        <f t="shared" si="10"/>
        <v>#DIV/0!</v>
      </c>
      <c r="P47" s="546" t="e">
        <f t="shared" si="11"/>
        <v>#DIV/0!</v>
      </c>
    </row>
    <row r="48" spans="1:18" x14ac:dyDescent="0.15">
      <c r="B48" s="275" t="s">
        <v>856</v>
      </c>
      <c r="C48" s="155" t="s">
        <v>840</v>
      </c>
      <c r="D48" s="302" t="e">
        <f>'Test-1'!AE47</f>
        <v>#DIV/0!</v>
      </c>
      <c r="E48" s="302" t="e">
        <f>'Test-2'!AE47</f>
        <v>#DIV/0!</v>
      </c>
      <c r="F48" s="302" t="e">
        <f>'Test-3'!AE47</f>
        <v>#DIV/0!</v>
      </c>
      <c r="G48" s="302" t="e">
        <f>'Test-4'!AE47</f>
        <v>#DIV/0!</v>
      </c>
      <c r="H48" s="302" t="e">
        <f>'Test-5'!AE47</f>
        <v>#DIV/0!</v>
      </c>
      <c r="I48" s="302" t="e">
        <f>'Test-6'!AE47</f>
        <v>#DIV/0!</v>
      </c>
      <c r="J48" s="302" t="e">
        <f>'Test-7'!AE47</f>
        <v>#DIV/0!</v>
      </c>
      <c r="K48" s="302" t="e">
        <f>'Test-8'!AE47</f>
        <v>#DIV/0!</v>
      </c>
      <c r="L48" s="302" t="e">
        <f>'Test-9'!AE47</f>
        <v>#DIV/0!</v>
      </c>
      <c r="M48" s="302" t="e">
        <f>'Test-10'!AE47</f>
        <v>#DIV/0!</v>
      </c>
      <c r="N48" s="493" t="e">
        <f t="shared" si="9"/>
        <v>#DIV/0!</v>
      </c>
      <c r="O48" s="544" t="e">
        <f t="shared" si="10"/>
        <v>#DIV/0!</v>
      </c>
      <c r="P48" s="546" t="e">
        <f t="shared" si="11"/>
        <v>#DIV/0!</v>
      </c>
    </row>
    <row r="49" spans="1:16" x14ac:dyDescent="0.15">
      <c r="B49" s="275" t="s">
        <v>858</v>
      </c>
      <c r="C49" s="155" t="s">
        <v>841</v>
      </c>
      <c r="D49" s="314" t="e">
        <f>'Test-1'!AE48</f>
        <v>#DIV/0!</v>
      </c>
      <c r="E49" s="314" t="e">
        <f>'Test-2'!AE48</f>
        <v>#DIV/0!</v>
      </c>
      <c r="F49" s="314" t="e">
        <f>'Test-3'!AE48</f>
        <v>#DIV/0!</v>
      </c>
      <c r="G49" s="314" t="e">
        <f>'Test-4'!AE48</f>
        <v>#DIV/0!</v>
      </c>
      <c r="H49" s="314" t="e">
        <f>'Test-5'!AE48</f>
        <v>#DIV/0!</v>
      </c>
      <c r="I49" s="314" t="e">
        <f>'Test-6'!AE48</f>
        <v>#DIV/0!</v>
      </c>
      <c r="J49" s="314" t="e">
        <f>'Test-7'!AE48</f>
        <v>#DIV/0!</v>
      </c>
      <c r="K49" s="314" t="e">
        <f>'Test-8'!AE48</f>
        <v>#DIV/0!</v>
      </c>
      <c r="L49" s="314" t="e">
        <f>'Test-9'!AE48</f>
        <v>#DIV/0!</v>
      </c>
      <c r="M49" s="314" t="e">
        <f>'Test-10'!AE48</f>
        <v>#DIV/0!</v>
      </c>
      <c r="N49" s="495" t="e">
        <f t="shared" si="9"/>
        <v>#DIV/0!</v>
      </c>
      <c r="O49" s="544" t="e">
        <f t="shared" si="10"/>
        <v>#DIV/0!</v>
      </c>
      <c r="P49" s="546" t="e">
        <f t="shared" si="11"/>
        <v>#DIV/0!</v>
      </c>
    </row>
    <row r="50" spans="1:16" x14ac:dyDescent="0.15">
      <c r="B50" s="275" t="s">
        <v>860</v>
      </c>
      <c r="C50" s="155" t="s">
        <v>843</v>
      </c>
      <c r="D50" s="140" t="e">
        <f>'Test-1'!AE49</f>
        <v>#DIV/0!</v>
      </c>
      <c r="E50" s="140" t="e">
        <f>'Test-2'!AE49</f>
        <v>#DIV/0!</v>
      </c>
      <c r="F50" s="140" t="e">
        <f>'Test-3'!AE49</f>
        <v>#DIV/0!</v>
      </c>
      <c r="G50" s="140" t="e">
        <f>'Test-4'!AE49</f>
        <v>#DIV/0!</v>
      </c>
      <c r="H50" s="140" t="e">
        <f>'Test-5'!AE49</f>
        <v>#DIV/0!</v>
      </c>
      <c r="I50" s="140" t="e">
        <f>'Test-6'!AE49</f>
        <v>#DIV/0!</v>
      </c>
      <c r="J50" s="140" t="e">
        <f>'Test-7'!AE49</f>
        <v>#DIV/0!</v>
      </c>
      <c r="K50" s="140" t="e">
        <f>'Test-8'!AE49</f>
        <v>#DIV/0!</v>
      </c>
      <c r="L50" s="140" t="e">
        <f>'Test-9'!AE49</f>
        <v>#DIV/0!</v>
      </c>
      <c r="M50" s="140" t="e">
        <f>'Test-10'!AE49</f>
        <v>#DIV/0!</v>
      </c>
      <c r="N50" s="494" t="e">
        <f t="shared" si="9"/>
        <v>#DIV/0!</v>
      </c>
      <c r="O50" s="544" t="e">
        <f t="shared" si="10"/>
        <v>#DIV/0!</v>
      </c>
      <c r="P50" s="546" t="e">
        <f t="shared" si="11"/>
        <v>#DIV/0!</v>
      </c>
    </row>
    <row r="51" spans="1:16" x14ac:dyDescent="0.15">
      <c r="B51" s="275" t="s">
        <v>879</v>
      </c>
      <c r="C51" s="155" t="s">
        <v>154</v>
      </c>
      <c r="D51" s="302" t="e">
        <f>'Test-1'!AE50</f>
        <v>#DIV/0!</v>
      </c>
      <c r="E51" s="302" t="e">
        <f>'Test-2'!AE50</f>
        <v>#DIV/0!</v>
      </c>
      <c r="F51" s="302" t="e">
        <f>'Test-3'!AE50</f>
        <v>#DIV/0!</v>
      </c>
      <c r="G51" s="302" t="e">
        <f>'Test-4'!AE50</f>
        <v>#DIV/0!</v>
      </c>
      <c r="H51" s="302" t="e">
        <f>'Test-5'!AE50</f>
        <v>#DIV/0!</v>
      </c>
      <c r="I51" s="302" t="e">
        <f>'Test-6'!AE50</f>
        <v>#DIV/0!</v>
      </c>
      <c r="J51" s="302" t="e">
        <f>'Test-7'!AE50</f>
        <v>#DIV/0!</v>
      </c>
      <c r="K51" s="302" t="e">
        <f>'Test-8'!AE50</f>
        <v>#DIV/0!</v>
      </c>
      <c r="L51" s="302" t="e">
        <f>'Test-9'!AE50</f>
        <v>#DIV/0!</v>
      </c>
      <c r="M51" s="302" t="e">
        <f>'Test-10'!AE50</f>
        <v>#DIV/0!</v>
      </c>
      <c r="N51" s="493" t="e">
        <f t="shared" si="9"/>
        <v>#DIV/0!</v>
      </c>
      <c r="O51" s="544" t="e">
        <f t="shared" si="10"/>
        <v>#DIV/0!</v>
      </c>
      <c r="P51" s="546" t="e">
        <f t="shared" si="11"/>
        <v>#DIV/0!</v>
      </c>
    </row>
    <row r="52" spans="1:16" ht="15" customHeight="1" x14ac:dyDescent="0.15">
      <c r="B52" s="276" t="s">
        <v>878</v>
      </c>
      <c r="C52" s="277" t="s">
        <v>864</v>
      </c>
      <c r="D52" s="323" t="e">
        <f>'Test-1'!AE51</f>
        <v>#DIV/0!</v>
      </c>
      <c r="E52" s="323" t="e">
        <f>'Test-2'!AE51</f>
        <v>#DIV/0!</v>
      </c>
      <c r="F52" s="323" t="e">
        <f>'Test-3'!AE51</f>
        <v>#DIV/0!</v>
      </c>
      <c r="G52" s="323" t="e">
        <f>'Test-4'!AE51</f>
        <v>#DIV/0!</v>
      </c>
      <c r="H52" s="323" t="e">
        <f>'Test-5'!AE51</f>
        <v>#DIV/0!</v>
      </c>
      <c r="I52" s="323" t="e">
        <f>'Test-6'!AE51</f>
        <v>#DIV/0!</v>
      </c>
      <c r="J52" s="323" t="e">
        <f>'Test-7'!AE51</f>
        <v>#DIV/0!</v>
      </c>
      <c r="K52" s="323" t="e">
        <f>'Test-8'!AE51</f>
        <v>#DIV/0!</v>
      </c>
      <c r="L52" s="323" t="e">
        <f>'Test-9'!AE51</f>
        <v>#DIV/0!</v>
      </c>
      <c r="M52" s="323" t="e">
        <f>'Test-10'!AE51</f>
        <v>#DIV/0!</v>
      </c>
      <c r="N52" s="496" t="e">
        <f t="shared" si="9"/>
        <v>#DIV/0!</v>
      </c>
      <c r="O52" s="543" t="e">
        <f t="shared" si="10"/>
        <v>#DIV/0!</v>
      </c>
      <c r="P52" s="547" t="e">
        <f t="shared" si="11"/>
        <v>#DIV/0!</v>
      </c>
    </row>
    <row r="53" spans="1:16" x14ac:dyDescent="0.15">
      <c r="N53" s="121"/>
      <c r="O53" s="121"/>
    </row>
    <row r="54" spans="1:16" x14ac:dyDescent="0.15">
      <c r="B54" s="130" t="s">
        <v>868</v>
      </c>
      <c r="C54" s="527" t="s">
        <v>866</v>
      </c>
      <c r="D54" s="530"/>
      <c r="E54" s="671"/>
      <c r="F54" s="671"/>
      <c r="G54" s="671"/>
      <c r="H54" s="671"/>
      <c r="I54" s="490"/>
      <c r="J54" s="490"/>
      <c r="K54" s="490"/>
      <c r="L54" s="490"/>
      <c r="M54" s="491"/>
      <c r="N54" s="145"/>
      <c r="O54" s="320"/>
      <c r="P54" s="119"/>
    </row>
    <row r="55" spans="1:16" x14ac:dyDescent="0.15">
      <c r="B55" s="135" t="s">
        <v>835</v>
      </c>
      <c r="C55" s="528" t="str">
        <f>IF(COUNTIF(D45:M45,"&gt;0")&lt;3,"NA",IF(Results!N45&lt;Lists!E15,"0",IF(Results!N45&lt;Lists!I15,1,IF(Results!N45&lt;Lists!K15,2,IF(Results!N45&lt;Lists!M15,3,4)))))</f>
        <v>NA</v>
      </c>
      <c r="D55" s="526"/>
      <c r="E55" s="672"/>
      <c r="F55" s="672"/>
      <c r="G55" s="672"/>
      <c r="H55" s="672"/>
      <c r="I55" s="299"/>
      <c r="J55" s="299"/>
      <c r="K55" s="299"/>
      <c r="L55" s="299"/>
      <c r="M55" s="122"/>
      <c r="N55" s="145"/>
      <c r="O55" s="320"/>
      <c r="P55" s="126"/>
    </row>
    <row r="56" spans="1:16" x14ac:dyDescent="0.15">
      <c r="B56" s="135" t="s">
        <v>836</v>
      </c>
      <c r="C56" s="528" t="str">
        <f>IF(COUNTIF(D46:M46,"&gt;0")&lt;3,"NA",IF(Results!N46&gt;Lists!E16,"0",IF(Results!N46&gt;Lists!I16,1,IF(Results!N46&gt;Lists!K16,2,IF(Results!N46&gt;Lists!M16,3,4)))))</f>
        <v>NA</v>
      </c>
      <c r="D56" s="526"/>
      <c r="E56" s="672"/>
      <c r="F56" s="672"/>
      <c r="G56" s="672"/>
      <c r="H56" s="672"/>
      <c r="I56" s="299"/>
      <c r="J56" s="299"/>
      <c r="K56" s="299"/>
      <c r="L56" s="299"/>
      <c r="M56" s="122"/>
      <c r="N56" s="145"/>
      <c r="O56" s="320"/>
      <c r="P56" s="126"/>
    </row>
    <row r="57" spans="1:16" x14ac:dyDescent="0.15">
      <c r="B57" s="275" t="s">
        <v>854</v>
      </c>
      <c r="C57" s="528" t="str">
        <f>IF(COUNTIF(D47:M47,"&gt;0")&lt;3,"NA",IF(Results!N47&gt;Lists!E17,"0",IF(Results!N47&gt;Lists!I17,1,IF(Results!N47&gt;Lists!K17,2,IF(Results!N47&gt;Lists!M17,3,4)))))</f>
        <v>NA</v>
      </c>
      <c r="D57" s="526"/>
      <c r="E57" s="672"/>
      <c r="F57" s="672"/>
      <c r="G57" s="672"/>
      <c r="H57" s="672"/>
      <c r="I57" s="299"/>
      <c r="J57" s="299"/>
      <c r="K57" s="299"/>
      <c r="L57" s="299"/>
      <c r="M57" s="122"/>
      <c r="N57" s="145"/>
      <c r="O57" s="320"/>
      <c r="P57" s="126"/>
    </row>
    <row r="58" spans="1:16" x14ac:dyDescent="0.15">
      <c r="B58" s="275" t="s">
        <v>856</v>
      </c>
      <c r="C58" s="528" t="str">
        <f>IF(COUNTIF(D48:M48,"&gt;0")&lt;3,"NA",IF(Results!N48&gt;Lists!E18,"0",IF(Results!N48&gt;Lists!I18,1,IF(Results!N48&gt;Lists!K18,2,IF(Results!N48&gt;Lists!M18,3,4)))))</f>
        <v>NA</v>
      </c>
      <c r="D58" s="526"/>
      <c r="E58" s="672"/>
      <c r="F58" s="672"/>
      <c r="G58" s="672"/>
      <c r="H58" s="672"/>
      <c r="I58" s="299"/>
      <c r="J58" s="299"/>
      <c r="K58" s="299"/>
      <c r="L58" s="299"/>
      <c r="M58" s="122"/>
      <c r="N58" s="145"/>
      <c r="O58" s="320"/>
      <c r="P58" s="126"/>
    </row>
    <row r="59" spans="1:16" x14ac:dyDescent="0.15">
      <c r="B59" s="275" t="s">
        <v>858</v>
      </c>
      <c r="C59" s="528" t="str">
        <f>IF(COUNTIF(D49:M49,"&gt;0")&lt;3,"NA",IF(Results!N49&gt;Lists!E19,"0",IF(Results!N49&gt;Lists!I19,1,IF(Results!N49&gt;Lists!K19,2,IF(Results!N49&gt;Lists!M19,3,4)))))</f>
        <v>NA</v>
      </c>
      <c r="D59" s="526"/>
      <c r="E59" s="672"/>
      <c r="F59" s="672"/>
      <c r="G59" s="672"/>
      <c r="H59" s="672"/>
      <c r="I59" s="299"/>
      <c r="J59" s="299"/>
      <c r="K59" s="299"/>
      <c r="L59" s="299"/>
      <c r="M59" s="122"/>
      <c r="N59" s="145"/>
      <c r="O59" s="320"/>
      <c r="P59" s="126"/>
    </row>
    <row r="60" spans="1:16" x14ac:dyDescent="0.15">
      <c r="B60" s="275" t="s">
        <v>860</v>
      </c>
      <c r="C60" s="528" t="str">
        <f>IF(COUNTIF(D50:M50,"&gt;0")&lt;3,"NA",IF(Results!N50&gt;Lists!E20,"0",IF(Results!N50&gt;Lists!I20,1,IF(Results!N50&gt;Lists!K20,2,IF(Results!N50&gt;Lists!M20,3,4)))))</f>
        <v>NA</v>
      </c>
      <c r="D60" s="526"/>
      <c r="E60" s="672"/>
      <c r="F60" s="672"/>
      <c r="G60" s="672"/>
      <c r="H60" s="672"/>
      <c r="I60" s="299"/>
      <c r="J60" s="299"/>
      <c r="K60" s="299"/>
      <c r="L60" s="299"/>
      <c r="M60" s="122"/>
      <c r="N60" s="145"/>
      <c r="O60" s="320"/>
      <c r="P60" s="126"/>
    </row>
    <row r="61" spans="1:16" x14ac:dyDescent="0.15">
      <c r="B61" s="275" t="s">
        <v>879</v>
      </c>
      <c r="C61" s="528" t="str">
        <f>IF(COUNTIF(D51:M51,"&gt;0")&lt;3,"NA",IF(Results!N51&gt;Lists!E21,"0",IF(Results!N51&gt;Lists!I21,1,IF(Results!N51&gt;Lists!K21,2,IF(Results!N51&gt;Lists!M21,3,4)))))</f>
        <v>NA</v>
      </c>
      <c r="D61" s="526"/>
      <c r="E61" s="672"/>
      <c r="F61" s="672"/>
      <c r="G61" s="672"/>
      <c r="H61" s="672"/>
      <c r="I61" s="299"/>
      <c r="J61" s="299"/>
      <c r="K61" s="299"/>
      <c r="L61" s="299"/>
      <c r="M61" s="122"/>
      <c r="N61" s="145"/>
      <c r="O61" s="320"/>
      <c r="P61" s="126"/>
    </row>
    <row r="62" spans="1:16" x14ac:dyDescent="0.15">
      <c r="A62" s="125"/>
      <c r="B62" s="276" t="s">
        <v>878</v>
      </c>
      <c r="C62" s="529" t="str">
        <f>IF(COUNTIF(D52:M52,"&gt;0")&lt;3,"NA",IF(Results!N52&gt;Lists!E22,"0",IF(Results!N52&gt;Lists!I22,1,IF(Results!N52&gt;Lists!K22,2,IF(Results!N52&gt;Lists!M22,3,4)))))</f>
        <v>NA</v>
      </c>
      <c r="D62" s="526"/>
      <c r="E62" s="672"/>
      <c r="F62" s="672"/>
      <c r="G62" s="672"/>
      <c r="H62" s="672"/>
      <c r="I62" s="299"/>
      <c r="J62" s="299"/>
      <c r="K62" s="299"/>
      <c r="L62" s="299"/>
      <c r="M62" s="122"/>
      <c r="N62" s="145"/>
      <c r="O62" s="320"/>
      <c r="P62" s="126"/>
    </row>
    <row r="64" spans="1:16" x14ac:dyDescent="0.15">
      <c r="D64" s="121" t="s">
        <v>942</v>
      </c>
    </row>
  </sheetData>
  <mergeCells count="23">
    <mergeCell ref="G60:H60"/>
    <mergeCell ref="G59:H59"/>
    <mergeCell ref="G62:H62"/>
    <mergeCell ref="G61:H61"/>
    <mergeCell ref="E59:F59"/>
    <mergeCell ref="E60:F60"/>
    <mergeCell ref="E61:F61"/>
    <mergeCell ref="E62:F62"/>
    <mergeCell ref="E58:F58"/>
    <mergeCell ref="G55:H55"/>
    <mergeCell ref="G56:H56"/>
    <mergeCell ref="G57:H57"/>
    <mergeCell ref="G58:H58"/>
    <mergeCell ref="E54:F54"/>
    <mergeCell ref="G54:H54"/>
    <mergeCell ref="E55:F55"/>
    <mergeCell ref="E56:F56"/>
    <mergeCell ref="E57:F57"/>
    <mergeCell ref="D2:E2"/>
    <mergeCell ref="C4:P4"/>
    <mergeCell ref="C5:P5"/>
    <mergeCell ref="C7:P7"/>
    <mergeCell ref="C8:P8"/>
  </mergeCells>
  <phoneticPr fontId="4" type="noConversion"/>
  <conditionalFormatting sqref="D22:M28">
    <cfRule type="containsErrors" dxfId="3" priority="9" stopIfTrue="1">
      <formula>ISERROR(D22)</formula>
    </cfRule>
  </conditionalFormatting>
  <conditionalFormatting sqref="E55:E62">
    <cfRule type="containsErrors" dxfId="2" priority="2" stopIfTrue="1">
      <formula>ISERROR(E55)</formula>
    </cfRule>
  </conditionalFormatting>
  <conditionalFormatting sqref="G55:G62">
    <cfRule type="containsErrors" dxfId="1" priority="1" stopIfTrue="1">
      <formula>ISERROR(G55)</formula>
    </cfRule>
  </conditionalFormatting>
  <conditionalFormatting sqref="N11:N12 P11:P12 D12:M12 O12 D13:P18 P21 N21:N22 O22:P22 S23 N23:P28 D31:P36 D39:P42 D45:P52 C55:C62 I55:L62">
    <cfRule type="containsErrors" dxfId="0" priority="16" stopIfTrue="1">
      <formula>ISERROR(C11)</formula>
    </cfRule>
  </conditionalFormatting>
  <pageMargins left="0.74791666666666667" right="0.74791666666666667" top="0.75" bottom="0.75" header="0.51180555555555551" footer="0.5"/>
  <pageSetup scale="71" firstPageNumber="0" orientation="landscape" horizontalDpi="300" verticalDpi="300" r:id="rId1"/>
  <headerFooter alignWithMargins="0">
    <oddFooter>&amp;L&amp;F&amp;C&amp;A&amp;RPage &amp;P</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dimension ref="A1:AG86"/>
  <sheetViews>
    <sheetView view="pageLayout" zoomScaleNormal="100" zoomScaleSheetLayoutView="100" workbookViewId="0">
      <selection activeCell="E5" sqref="E5:J5"/>
    </sheetView>
  </sheetViews>
  <sheetFormatPr defaultColWidth="9.16796875" defaultRowHeight="12.75" x14ac:dyDescent="0.15"/>
  <cols>
    <col min="1" max="1" width="7.953125" style="1" customWidth="1"/>
    <col min="2" max="2" width="9.16796875" style="1"/>
    <col min="3" max="3" width="14.0234375" style="1" bestFit="1" customWidth="1"/>
    <col min="4" max="7" width="7.68359375" style="1" customWidth="1"/>
    <col min="8" max="10" width="9.16796875" style="1"/>
    <col min="11" max="11" width="7.953125" style="1" customWidth="1"/>
    <col min="12" max="12" width="9.16796875" style="1" customWidth="1"/>
    <col min="13" max="16384" width="9.16796875" style="1"/>
  </cols>
  <sheetData>
    <row r="1" spans="1:33" ht="13.5" thickTop="1" x14ac:dyDescent="0.15">
      <c r="A1" s="466"/>
      <c r="B1" s="467"/>
      <c r="C1" s="467"/>
      <c r="D1" s="467"/>
      <c r="E1" s="467"/>
      <c r="F1" s="467"/>
      <c r="G1" s="467"/>
      <c r="H1" s="467"/>
      <c r="I1" s="467"/>
      <c r="J1" s="467"/>
      <c r="K1" s="468"/>
      <c r="L1" s="2"/>
      <c r="M1" s="2"/>
      <c r="N1" s="2"/>
      <c r="O1" s="2"/>
      <c r="P1" s="2"/>
      <c r="Q1" s="2"/>
      <c r="R1" s="2"/>
      <c r="S1" s="2"/>
      <c r="T1" s="2"/>
      <c r="U1" s="2"/>
      <c r="V1" s="2"/>
      <c r="W1" s="2"/>
      <c r="X1" s="2"/>
      <c r="Y1" s="2"/>
      <c r="Z1" s="2"/>
      <c r="AA1" s="2"/>
      <c r="AB1" s="2"/>
      <c r="AC1" s="2"/>
      <c r="AD1" s="2"/>
      <c r="AE1" s="2"/>
      <c r="AF1" s="2"/>
      <c r="AG1" s="2"/>
    </row>
    <row r="2" spans="1:33" ht="74.25" customHeight="1" x14ac:dyDescent="0.15">
      <c r="A2" s="673"/>
      <c r="B2" s="641"/>
      <c r="C2" s="641"/>
      <c r="D2" s="641"/>
      <c r="E2" s="641"/>
      <c r="F2" s="641"/>
      <c r="G2" s="641"/>
      <c r="H2" s="641"/>
      <c r="I2" s="641"/>
      <c r="J2" s="641"/>
      <c r="K2" s="674"/>
      <c r="L2" s="2"/>
      <c r="M2" s="2"/>
      <c r="N2" s="2"/>
      <c r="O2" s="2"/>
      <c r="P2" s="2"/>
      <c r="Q2" s="2"/>
      <c r="R2" s="2"/>
      <c r="S2" s="2"/>
      <c r="T2" s="2"/>
      <c r="U2" s="2"/>
      <c r="V2" s="2"/>
      <c r="W2" s="2"/>
      <c r="X2" s="2"/>
      <c r="Y2" s="2"/>
      <c r="Z2" s="2"/>
      <c r="AA2" s="2"/>
      <c r="AB2" s="2"/>
      <c r="AC2" s="2"/>
      <c r="AD2" s="2"/>
      <c r="AE2" s="2"/>
      <c r="AF2" s="2"/>
      <c r="AG2" s="2"/>
    </row>
    <row r="3" spans="1:33" ht="24.75" customHeight="1" x14ac:dyDescent="0.15">
      <c r="A3" s="683" t="s">
        <v>973</v>
      </c>
      <c r="B3" s="684"/>
      <c r="C3" s="684"/>
      <c r="D3" s="684"/>
      <c r="E3" s="684"/>
      <c r="F3" s="684"/>
      <c r="G3" s="684"/>
      <c r="H3" s="684"/>
      <c r="I3" s="684"/>
      <c r="J3" s="684"/>
      <c r="K3" s="685"/>
      <c r="L3" s="2"/>
      <c r="M3" s="2"/>
      <c r="N3" s="2"/>
      <c r="O3" s="2"/>
      <c r="P3" s="2"/>
      <c r="Q3" s="2"/>
      <c r="R3" s="2"/>
      <c r="S3" s="2"/>
      <c r="T3" s="2"/>
      <c r="U3" s="2"/>
      <c r="V3" s="2"/>
      <c r="W3" s="2"/>
      <c r="X3" s="2"/>
      <c r="Y3" s="2"/>
      <c r="Z3" s="2"/>
      <c r="AA3" s="2"/>
      <c r="AB3" s="2"/>
      <c r="AC3" s="2"/>
      <c r="AD3" s="2"/>
      <c r="AE3" s="2"/>
      <c r="AF3" s="2"/>
      <c r="AG3" s="2"/>
    </row>
    <row r="4" spans="1:33" ht="12.2" customHeight="1" thickBot="1" x14ac:dyDescent="0.2">
      <c r="A4" s="469"/>
      <c r="B4" s="470"/>
      <c r="C4" s="470"/>
      <c r="D4" s="470"/>
      <c r="E4" s="470"/>
      <c r="F4" s="470"/>
      <c r="G4" s="470"/>
      <c r="H4" s="470"/>
      <c r="I4" s="470"/>
      <c r="J4" s="470"/>
      <c r="K4" s="474"/>
      <c r="L4" s="2"/>
      <c r="M4" s="2"/>
      <c r="N4" s="2"/>
      <c r="O4" s="2"/>
      <c r="P4" s="2"/>
      <c r="Q4" s="2"/>
      <c r="R4" s="2"/>
      <c r="S4" s="2"/>
      <c r="T4" s="2"/>
      <c r="U4" s="2"/>
      <c r="V4" s="2"/>
      <c r="W4" s="2"/>
      <c r="X4" s="2"/>
      <c r="Y4" s="2"/>
      <c r="Z4" s="2"/>
      <c r="AA4" s="2"/>
      <c r="AB4" s="2"/>
      <c r="AC4" s="2"/>
      <c r="AD4" s="2"/>
      <c r="AE4" s="2"/>
      <c r="AF4" s="2"/>
      <c r="AG4" s="2"/>
    </row>
    <row r="5" spans="1:33" s="460" customFormat="1" ht="17.25" customHeight="1" x14ac:dyDescent="0.15">
      <c r="A5" s="471"/>
      <c r="B5" s="689" t="s">
        <v>995</v>
      </c>
      <c r="C5" s="690"/>
      <c r="D5" s="691"/>
      <c r="E5" s="686">
        <f>'General Information'!C11</f>
        <v>0</v>
      </c>
      <c r="F5" s="687"/>
      <c r="G5" s="687"/>
      <c r="H5" s="687"/>
      <c r="I5" s="687"/>
      <c r="J5" s="688"/>
      <c r="K5" s="472"/>
      <c r="L5" s="459"/>
      <c r="M5" s="459"/>
      <c r="N5" s="459"/>
      <c r="O5" s="459"/>
      <c r="P5" s="459"/>
      <c r="Q5" s="459"/>
      <c r="R5" s="459"/>
      <c r="S5" s="459"/>
      <c r="T5" s="459"/>
      <c r="U5" s="459"/>
      <c r="V5" s="459"/>
      <c r="W5" s="459"/>
      <c r="X5" s="459"/>
      <c r="Y5" s="459"/>
      <c r="Z5" s="459"/>
      <c r="AA5" s="459"/>
      <c r="AB5" s="459"/>
      <c r="AC5" s="459"/>
      <c r="AD5" s="459"/>
      <c r="AE5" s="459"/>
      <c r="AF5" s="459"/>
      <c r="AG5" s="459"/>
    </row>
    <row r="6" spans="1:33" s="460" customFormat="1" ht="17.25" customHeight="1" x14ac:dyDescent="0.15">
      <c r="A6" s="471"/>
      <c r="B6" s="692" t="s">
        <v>996</v>
      </c>
      <c r="C6" s="693"/>
      <c r="D6" s="694"/>
      <c r="E6" s="675">
        <f>'General Information'!C10</f>
        <v>0</v>
      </c>
      <c r="F6" s="676"/>
      <c r="G6" s="676"/>
      <c r="H6" s="676"/>
      <c r="I6" s="676"/>
      <c r="J6" s="677"/>
      <c r="K6" s="472"/>
      <c r="L6" s="459"/>
      <c r="M6" s="459"/>
      <c r="N6" s="459"/>
      <c r="O6" s="459"/>
      <c r="P6" s="459"/>
      <c r="Q6" s="459"/>
      <c r="R6" s="459"/>
      <c r="S6" s="459"/>
      <c r="T6" s="459"/>
      <c r="U6" s="459"/>
      <c r="V6" s="459"/>
      <c r="W6" s="459"/>
      <c r="X6" s="459"/>
      <c r="Y6" s="459"/>
      <c r="Z6" s="459"/>
      <c r="AA6" s="459"/>
      <c r="AB6" s="459"/>
      <c r="AC6" s="459"/>
      <c r="AD6" s="459"/>
      <c r="AE6" s="459"/>
      <c r="AF6" s="459"/>
      <c r="AG6" s="459"/>
    </row>
    <row r="7" spans="1:33" s="460" customFormat="1" ht="17.25" customHeight="1" x14ac:dyDescent="0.15">
      <c r="A7" s="471"/>
      <c r="B7" s="692" t="s">
        <v>974</v>
      </c>
      <c r="C7" s="693"/>
      <c r="D7" s="694"/>
      <c r="E7" s="675">
        <f>'General Information'!C7</f>
        <v>0</v>
      </c>
      <c r="F7" s="676"/>
      <c r="G7" s="676"/>
      <c r="H7" s="676"/>
      <c r="I7" s="676"/>
      <c r="J7" s="677"/>
      <c r="K7" s="472"/>
      <c r="L7" s="459"/>
      <c r="M7" s="459"/>
      <c r="N7" s="459"/>
      <c r="O7" s="459"/>
      <c r="P7" s="459"/>
      <c r="Q7" s="459"/>
      <c r="R7" s="459"/>
      <c r="S7" s="459"/>
      <c r="T7" s="459"/>
      <c r="U7" s="459"/>
      <c r="V7" s="459"/>
      <c r="W7" s="459"/>
      <c r="X7" s="459"/>
      <c r="Y7" s="459"/>
      <c r="Z7" s="459"/>
      <c r="AA7" s="459"/>
      <c r="AB7" s="459"/>
      <c r="AC7" s="459"/>
      <c r="AD7" s="459"/>
      <c r="AE7" s="459"/>
      <c r="AF7" s="459"/>
      <c r="AG7" s="459"/>
    </row>
    <row r="8" spans="1:33" s="460" customFormat="1" ht="17.25" customHeight="1" x14ac:dyDescent="0.15">
      <c r="A8" s="471"/>
      <c r="B8" s="692" t="s">
        <v>975</v>
      </c>
      <c r="C8" s="693"/>
      <c r="D8" s="694"/>
      <c r="E8" s="675" t="s">
        <v>1031</v>
      </c>
      <c r="F8" s="676"/>
      <c r="G8" s="676"/>
      <c r="H8" s="676"/>
      <c r="I8" s="676"/>
      <c r="J8" s="677"/>
      <c r="K8" s="472"/>
      <c r="L8" s="459"/>
      <c r="M8" s="459"/>
      <c r="N8" s="459"/>
      <c r="O8" s="459"/>
      <c r="P8" s="459"/>
      <c r="Q8" s="459"/>
      <c r="R8" s="459"/>
      <c r="S8" s="459"/>
      <c r="T8" s="459"/>
      <c r="U8" s="459"/>
      <c r="V8" s="459"/>
      <c r="W8" s="459"/>
      <c r="X8" s="459"/>
      <c r="Y8" s="459"/>
      <c r="Z8" s="459"/>
      <c r="AA8" s="459"/>
      <c r="AB8" s="459"/>
      <c r="AC8" s="459"/>
      <c r="AD8" s="459"/>
      <c r="AE8" s="459"/>
      <c r="AF8" s="459"/>
      <c r="AG8" s="459"/>
    </row>
    <row r="9" spans="1:33" s="460" customFormat="1" ht="17.25" customHeight="1" x14ac:dyDescent="0.15">
      <c r="A9" s="471"/>
      <c r="B9" s="692" t="s">
        <v>976</v>
      </c>
      <c r="C9" s="693"/>
      <c r="D9" s="694"/>
      <c r="E9" s="675" t="str">
        <f>IF('General Information'!J4=1,"",VLOOKUP('General Information'!J4,FuelCalorific,2,FALSE))</f>
        <v/>
      </c>
      <c r="F9" s="676"/>
      <c r="G9" s="676"/>
      <c r="H9" s="676"/>
      <c r="I9" s="676"/>
      <c r="J9" s="677"/>
      <c r="K9" s="472"/>
      <c r="L9" s="459"/>
      <c r="M9" s="459"/>
      <c r="N9" s="459"/>
      <c r="O9" s="459"/>
      <c r="P9" s="459"/>
      <c r="Q9" s="459"/>
      <c r="R9" s="459"/>
      <c r="S9" s="459"/>
      <c r="T9" s="459"/>
      <c r="U9" s="459"/>
      <c r="V9" s="459"/>
      <c r="W9" s="459"/>
      <c r="X9" s="459"/>
      <c r="Y9" s="459"/>
      <c r="Z9" s="459"/>
      <c r="AA9" s="459"/>
      <c r="AB9" s="459"/>
      <c r="AC9" s="459"/>
      <c r="AD9" s="459"/>
      <c r="AE9" s="459"/>
      <c r="AF9" s="459"/>
      <c r="AG9" s="459"/>
    </row>
    <row r="10" spans="1:33" s="460" customFormat="1" ht="17.25" customHeight="1" x14ac:dyDescent="0.15">
      <c r="A10" s="471"/>
      <c r="B10" s="692" t="s">
        <v>977</v>
      </c>
      <c r="C10" s="693"/>
      <c r="D10" s="694"/>
      <c r="E10" s="675">
        <f>'General Information'!C16</f>
        <v>0</v>
      </c>
      <c r="F10" s="676"/>
      <c r="G10" s="676"/>
      <c r="H10" s="676"/>
      <c r="I10" s="676"/>
      <c r="J10" s="677"/>
      <c r="K10" s="472"/>
      <c r="L10" s="459"/>
      <c r="M10" s="459"/>
      <c r="N10" s="459"/>
      <c r="O10" s="459"/>
      <c r="P10" s="459"/>
      <c r="Q10" s="459"/>
      <c r="R10" s="459"/>
      <c r="S10" s="459"/>
      <c r="T10" s="459"/>
      <c r="U10" s="459"/>
      <c r="V10" s="459"/>
      <c r="W10" s="459"/>
      <c r="X10" s="459"/>
      <c r="Y10" s="459"/>
      <c r="Z10" s="459"/>
      <c r="AA10" s="459"/>
      <c r="AB10" s="459"/>
      <c r="AC10" s="459"/>
      <c r="AD10" s="459"/>
      <c r="AE10" s="459"/>
      <c r="AF10" s="459"/>
      <c r="AG10" s="459"/>
    </row>
    <row r="11" spans="1:33" s="460" customFormat="1" ht="17.25" customHeight="1" thickBot="1" x14ac:dyDescent="0.2">
      <c r="A11" s="471"/>
      <c r="B11" s="680" t="s">
        <v>978</v>
      </c>
      <c r="C11" s="681"/>
      <c r="D11" s="682"/>
      <c r="E11" s="707">
        <f>'General Information'!C5</f>
        <v>0</v>
      </c>
      <c r="F11" s="708"/>
      <c r="G11" s="708"/>
      <c r="H11" s="708"/>
      <c r="I11" s="708"/>
      <c r="J11" s="709"/>
      <c r="K11" s="472"/>
      <c r="L11" s="459"/>
      <c r="M11" s="459"/>
      <c r="N11" s="459"/>
      <c r="O11" s="459"/>
      <c r="P11" s="459"/>
      <c r="Q11" s="459"/>
      <c r="R11" s="459"/>
      <c r="S11" s="459"/>
      <c r="T11" s="459"/>
      <c r="U11" s="459"/>
      <c r="V11" s="459"/>
      <c r="W11" s="459"/>
      <c r="X11" s="459"/>
      <c r="Y11" s="459"/>
      <c r="Z11" s="459"/>
      <c r="AA11" s="459"/>
      <c r="AB11" s="459"/>
      <c r="AC11" s="459"/>
      <c r="AD11" s="459"/>
      <c r="AE11" s="459"/>
      <c r="AF11" s="459"/>
      <c r="AG11" s="459"/>
    </row>
    <row r="12" spans="1:33" x14ac:dyDescent="0.15">
      <c r="A12" s="473"/>
      <c r="B12" s="2"/>
      <c r="C12" s="2"/>
      <c r="D12" s="2"/>
      <c r="E12" s="2"/>
      <c r="F12" s="2"/>
      <c r="G12" s="2"/>
      <c r="H12" s="2"/>
      <c r="I12" s="2"/>
      <c r="J12" s="2"/>
      <c r="K12" s="474"/>
      <c r="L12" s="2"/>
      <c r="M12" s="2"/>
      <c r="N12" s="2"/>
      <c r="O12" s="2"/>
      <c r="P12" s="2"/>
      <c r="Q12" s="2"/>
      <c r="R12" s="2"/>
      <c r="S12" s="2"/>
      <c r="T12" s="2"/>
      <c r="U12" s="2"/>
      <c r="V12" s="2"/>
      <c r="W12" s="2"/>
      <c r="X12" s="2"/>
      <c r="Y12" s="2"/>
      <c r="Z12" s="2"/>
      <c r="AA12" s="2"/>
      <c r="AB12" s="2"/>
      <c r="AC12" s="2"/>
      <c r="AD12" s="2"/>
      <c r="AE12" s="2"/>
      <c r="AF12" s="2"/>
      <c r="AG12" s="2"/>
    </row>
    <row r="13" spans="1:33" x14ac:dyDescent="0.15">
      <c r="A13" s="678" t="s">
        <v>1001</v>
      </c>
      <c r="B13" s="639"/>
      <c r="C13" s="639"/>
      <c r="D13" s="639"/>
      <c r="E13" s="639"/>
      <c r="F13" s="639"/>
      <c r="G13" s="639"/>
      <c r="H13" s="639"/>
      <c r="I13" s="639"/>
      <c r="J13" s="639"/>
      <c r="K13" s="679"/>
      <c r="L13" s="2"/>
      <c r="M13" s="2"/>
      <c r="N13" s="2"/>
      <c r="O13" s="2"/>
      <c r="P13" s="2"/>
      <c r="Q13" s="2"/>
      <c r="R13" s="2"/>
      <c r="S13" s="2"/>
      <c r="T13" s="2"/>
      <c r="U13" s="2"/>
      <c r="V13" s="2"/>
      <c r="W13" s="2"/>
      <c r="X13" s="2"/>
      <c r="Y13" s="2"/>
      <c r="Z13" s="2"/>
      <c r="AA13" s="2"/>
      <c r="AB13" s="2"/>
      <c r="AC13" s="2"/>
      <c r="AD13" s="2"/>
      <c r="AE13" s="2"/>
      <c r="AF13" s="2"/>
      <c r="AG13" s="2"/>
    </row>
    <row r="14" spans="1:33" x14ac:dyDescent="0.15">
      <c r="A14" s="678" t="s">
        <v>997</v>
      </c>
      <c r="B14" s="639"/>
      <c r="C14" s="639"/>
      <c r="D14" s="639"/>
      <c r="E14" s="639"/>
      <c r="F14" s="639"/>
      <c r="G14" s="639"/>
      <c r="H14" s="639"/>
      <c r="I14" s="639"/>
      <c r="J14" s="639"/>
      <c r="K14" s="679"/>
      <c r="L14" s="2"/>
      <c r="M14" s="2"/>
      <c r="N14" s="2"/>
      <c r="O14" s="2"/>
      <c r="P14" s="2"/>
      <c r="Q14" s="2"/>
      <c r="R14" s="2"/>
      <c r="S14" s="2"/>
      <c r="T14" s="2"/>
      <c r="U14" s="2"/>
      <c r="V14" s="2"/>
      <c r="W14" s="2"/>
      <c r="X14" s="2"/>
      <c r="Y14" s="2"/>
      <c r="Z14" s="2"/>
      <c r="AA14" s="2"/>
      <c r="AB14" s="2"/>
      <c r="AC14" s="2"/>
      <c r="AD14" s="2"/>
      <c r="AE14" s="2"/>
      <c r="AF14" s="2"/>
      <c r="AG14" s="2"/>
    </row>
    <row r="15" spans="1:33" ht="13.5" thickBot="1" x14ac:dyDescent="0.2">
      <c r="A15" s="473"/>
      <c r="B15" s="2"/>
      <c r="C15" s="2"/>
      <c r="D15" s="2"/>
      <c r="E15" s="2"/>
      <c r="F15" s="2"/>
      <c r="G15" s="2"/>
      <c r="H15" s="2"/>
      <c r="I15" s="2"/>
      <c r="J15" s="2"/>
      <c r="K15" s="474"/>
      <c r="L15" s="2"/>
      <c r="M15" s="2"/>
      <c r="N15" s="2"/>
      <c r="O15" s="2"/>
      <c r="P15" s="2"/>
      <c r="Q15" s="2"/>
      <c r="R15" s="2"/>
      <c r="S15" s="2"/>
      <c r="T15" s="2"/>
      <c r="U15" s="2"/>
      <c r="V15" s="2"/>
      <c r="W15" s="2"/>
      <c r="X15" s="2"/>
      <c r="Y15" s="2"/>
      <c r="Z15" s="2"/>
      <c r="AA15" s="2"/>
      <c r="AB15" s="2"/>
      <c r="AC15" s="2"/>
      <c r="AD15" s="2"/>
      <c r="AE15" s="2"/>
      <c r="AF15" s="2"/>
      <c r="AG15" s="2"/>
    </row>
    <row r="16" spans="1:33" ht="24" customHeight="1" thickBot="1" x14ac:dyDescent="0.2">
      <c r="A16" s="473"/>
      <c r="B16" s="713" t="s">
        <v>696</v>
      </c>
      <c r="C16" s="714"/>
      <c r="D16" s="715"/>
      <c r="E16" s="695">
        <f>'General Information'!C3</f>
        <v>0</v>
      </c>
      <c r="F16" s="696"/>
      <c r="G16" s="696"/>
      <c r="H16" s="696"/>
      <c r="I16" s="696"/>
      <c r="J16" s="697"/>
      <c r="K16" s="474"/>
      <c r="L16" s="2"/>
      <c r="M16" s="2"/>
      <c r="N16" s="2"/>
      <c r="O16" s="2"/>
      <c r="P16" s="2"/>
      <c r="Q16" s="2"/>
      <c r="R16" s="2"/>
      <c r="S16" s="2"/>
      <c r="T16" s="2"/>
      <c r="U16" s="2"/>
      <c r="V16" s="2"/>
      <c r="W16" s="2"/>
      <c r="X16" s="2"/>
      <c r="Y16" s="2"/>
      <c r="Z16" s="2"/>
      <c r="AA16" s="2"/>
      <c r="AB16" s="2"/>
      <c r="AC16" s="2"/>
      <c r="AD16" s="2"/>
      <c r="AE16" s="2"/>
      <c r="AF16" s="2"/>
      <c r="AG16" s="2"/>
    </row>
    <row r="17" spans="1:33" ht="13.5" thickBot="1" x14ac:dyDescent="0.2">
      <c r="A17" s="473"/>
      <c r="B17" s="2"/>
      <c r="C17" s="2"/>
      <c r="D17" s="2"/>
      <c r="E17" s="2"/>
      <c r="F17" s="2"/>
      <c r="G17" s="2"/>
      <c r="H17" s="2"/>
      <c r="I17" s="2"/>
      <c r="J17" s="2"/>
      <c r="K17" s="474"/>
      <c r="L17" s="2"/>
      <c r="M17" s="2"/>
      <c r="N17" s="2"/>
      <c r="O17" s="2"/>
      <c r="P17" s="2"/>
      <c r="Q17" s="2"/>
      <c r="R17" s="2"/>
      <c r="S17" s="2"/>
      <c r="T17" s="2"/>
      <c r="U17" s="2"/>
      <c r="V17" s="2"/>
      <c r="W17" s="2"/>
      <c r="X17" s="2"/>
      <c r="Y17" s="2"/>
      <c r="Z17" s="2"/>
      <c r="AA17" s="2"/>
      <c r="AB17" s="2"/>
      <c r="AC17" s="2"/>
      <c r="AD17" s="2"/>
      <c r="AE17" s="2"/>
      <c r="AF17" s="2"/>
      <c r="AG17" s="2"/>
    </row>
    <row r="18" spans="1:33" ht="12.75" customHeight="1" x14ac:dyDescent="0.15">
      <c r="A18" s="473"/>
      <c r="B18" s="462"/>
      <c r="C18" s="463"/>
      <c r="D18" s="716" t="s">
        <v>979</v>
      </c>
      <c r="E18" s="717"/>
      <c r="F18" s="717"/>
      <c r="G18" s="718"/>
      <c r="H18" s="464" t="s">
        <v>980</v>
      </c>
      <c r="I18" s="464" t="s">
        <v>981</v>
      </c>
      <c r="J18" s="465" t="s">
        <v>982</v>
      </c>
      <c r="K18" s="474"/>
      <c r="L18" s="2"/>
      <c r="M18" s="2"/>
      <c r="N18" s="2"/>
      <c r="O18" s="2"/>
      <c r="P18" s="2"/>
      <c r="Q18" s="2"/>
      <c r="R18" s="2"/>
      <c r="S18" s="2"/>
      <c r="T18" s="2"/>
      <c r="U18" s="2"/>
      <c r="V18" s="2"/>
      <c r="W18" s="2"/>
      <c r="X18" s="2"/>
      <c r="Y18" s="2"/>
      <c r="Z18" s="2"/>
      <c r="AA18" s="2"/>
      <c r="AB18" s="2"/>
      <c r="AC18" s="2"/>
      <c r="AD18" s="2"/>
      <c r="AE18" s="2"/>
      <c r="AF18" s="2"/>
      <c r="AG18" s="2"/>
    </row>
    <row r="19" spans="1:33" s="460" customFormat="1" ht="18.75" customHeight="1" x14ac:dyDescent="0.15">
      <c r="A19" s="471"/>
      <c r="B19" s="704" t="s">
        <v>983</v>
      </c>
      <c r="C19" s="705"/>
      <c r="D19" s="705"/>
      <c r="E19" s="705"/>
      <c r="F19" s="705"/>
      <c r="G19" s="705"/>
      <c r="H19" s="705"/>
      <c r="I19" s="705"/>
      <c r="J19" s="706"/>
      <c r="K19" s="472"/>
      <c r="L19" s="459"/>
      <c r="M19" s="459"/>
      <c r="N19" s="459"/>
      <c r="O19" s="459"/>
      <c r="P19" s="459"/>
      <c r="Q19" s="459"/>
      <c r="R19" s="459"/>
      <c r="S19" s="459"/>
      <c r="T19" s="459"/>
      <c r="U19" s="459"/>
      <c r="V19" s="459"/>
      <c r="W19" s="459"/>
      <c r="X19" s="459"/>
      <c r="Y19" s="459"/>
      <c r="Z19" s="459"/>
      <c r="AA19" s="459"/>
      <c r="AB19" s="459"/>
      <c r="AC19" s="459"/>
      <c r="AD19" s="459"/>
      <c r="AE19" s="459"/>
      <c r="AF19" s="459"/>
      <c r="AG19" s="459"/>
    </row>
    <row r="20" spans="1:33" s="460" customFormat="1" ht="15" customHeight="1" x14ac:dyDescent="0.15">
      <c r="A20" s="471"/>
      <c r="B20" s="701" t="s">
        <v>866</v>
      </c>
      <c r="C20" s="698" t="e">
        <f>MIN(IF(J20:J21,J20:J21))</f>
        <v>#VALUE!</v>
      </c>
      <c r="D20" s="710" t="s">
        <v>984</v>
      </c>
      <c r="E20" s="711"/>
      <c r="F20" s="711"/>
      <c r="G20" s="712"/>
      <c r="H20" s="520" t="e">
        <f>Results!N45</f>
        <v>#DIV/0!</v>
      </c>
      <c r="I20" s="520" t="s">
        <v>113</v>
      </c>
      <c r="J20" s="521" t="str">
        <f>Results!C55</f>
        <v>NA</v>
      </c>
      <c r="K20" s="472"/>
      <c r="L20" s="459"/>
      <c r="M20" s="459"/>
      <c r="N20" s="459"/>
      <c r="O20" s="459"/>
      <c r="P20" s="459"/>
      <c r="Q20" s="459"/>
      <c r="R20" s="459"/>
      <c r="S20" s="459"/>
      <c r="T20" s="459"/>
      <c r="U20" s="459"/>
      <c r="V20" s="459"/>
      <c r="W20" s="459"/>
      <c r="X20" s="459"/>
      <c r="Y20" s="459"/>
      <c r="Z20" s="459"/>
      <c r="AA20" s="459"/>
      <c r="AB20" s="459"/>
      <c r="AC20" s="459"/>
      <c r="AD20" s="459"/>
      <c r="AE20" s="459"/>
      <c r="AF20" s="459"/>
      <c r="AG20" s="459"/>
    </row>
    <row r="21" spans="1:33" s="460" customFormat="1" ht="15" customHeight="1" x14ac:dyDescent="0.15">
      <c r="A21" s="471"/>
      <c r="B21" s="703"/>
      <c r="C21" s="700"/>
      <c r="D21" s="710" t="s">
        <v>985</v>
      </c>
      <c r="E21" s="711"/>
      <c r="F21" s="711"/>
      <c r="G21" s="712"/>
      <c r="H21" s="520" t="e">
        <f>Results!N46</f>
        <v>#DIV/0!</v>
      </c>
      <c r="I21" s="520" t="s">
        <v>986</v>
      </c>
      <c r="J21" s="521" t="str">
        <f>Results!C56</f>
        <v>NA</v>
      </c>
      <c r="K21" s="472"/>
      <c r="L21" s="459"/>
      <c r="M21" s="459"/>
      <c r="N21" s="459"/>
      <c r="O21" s="459"/>
      <c r="P21" s="459"/>
      <c r="Q21" s="459"/>
      <c r="R21" s="459"/>
      <c r="S21" s="459"/>
      <c r="T21" s="459"/>
      <c r="U21" s="459"/>
      <c r="V21" s="459"/>
      <c r="W21" s="459"/>
      <c r="X21" s="459"/>
      <c r="Y21" s="459"/>
      <c r="Z21" s="459"/>
      <c r="AA21" s="459"/>
      <c r="AB21" s="459"/>
      <c r="AC21" s="459"/>
      <c r="AD21" s="459"/>
      <c r="AE21" s="459"/>
      <c r="AF21" s="459"/>
      <c r="AG21" s="459"/>
    </row>
    <row r="22" spans="1:33" s="460" customFormat="1" ht="18.75" customHeight="1" x14ac:dyDescent="0.15">
      <c r="A22" s="471"/>
      <c r="B22" s="704" t="s">
        <v>987</v>
      </c>
      <c r="C22" s="705"/>
      <c r="D22" s="705"/>
      <c r="E22" s="705"/>
      <c r="F22" s="705"/>
      <c r="G22" s="705"/>
      <c r="H22" s="705"/>
      <c r="I22" s="705"/>
      <c r="J22" s="706"/>
      <c r="K22" s="472"/>
      <c r="L22" s="459"/>
      <c r="M22" s="459"/>
      <c r="N22" s="459"/>
      <c r="O22" s="459"/>
      <c r="P22" s="459"/>
      <c r="Q22" s="459"/>
      <c r="R22" s="459"/>
      <c r="S22" s="459"/>
      <c r="T22" s="459"/>
      <c r="U22" s="459"/>
      <c r="V22" s="459"/>
      <c r="W22" s="459"/>
      <c r="X22" s="459"/>
      <c r="Y22" s="459"/>
      <c r="Z22" s="459"/>
      <c r="AA22" s="459"/>
      <c r="AB22" s="459"/>
      <c r="AC22" s="459"/>
      <c r="AD22" s="459"/>
      <c r="AE22" s="459"/>
      <c r="AF22" s="459"/>
      <c r="AG22" s="459"/>
    </row>
    <row r="23" spans="1:33" s="460" customFormat="1" ht="15" customHeight="1" x14ac:dyDescent="0.15">
      <c r="A23" s="471"/>
      <c r="B23" s="701" t="s">
        <v>866</v>
      </c>
      <c r="C23" s="698" t="e">
        <f>MIN(IF(J23:J26,J23:J26))</f>
        <v>#VALUE!</v>
      </c>
      <c r="D23" s="710" t="s">
        <v>988</v>
      </c>
      <c r="E23" s="711"/>
      <c r="F23" s="711"/>
      <c r="G23" s="712"/>
      <c r="H23" s="520" t="e">
        <f>Results!N47</f>
        <v>#DIV/0!</v>
      </c>
      <c r="I23" s="520" t="s">
        <v>998</v>
      </c>
      <c r="J23" s="521" t="str">
        <f>Results!C57</f>
        <v>NA</v>
      </c>
      <c r="K23" s="472"/>
      <c r="L23" s="459"/>
      <c r="M23" s="459"/>
      <c r="N23" s="459"/>
      <c r="O23" s="459"/>
      <c r="P23" s="459"/>
      <c r="Q23" s="459"/>
      <c r="R23" s="459"/>
      <c r="S23" s="459"/>
      <c r="T23" s="459"/>
      <c r="U23" s="459"/>
      <c r="V23" s="459"/>
      <c r="W23" s="459"/>
      <c r="X23" s="459"/>
      <c r="Y23" s="459"/>
      <c r="Z23" s="459"/>
      <c r="AA23" s="459"/>
      <c r="AB23" s="459"/>
      <c r="AC23" s="459"/>
      <c r="AD23" s="459"/>
      <c r="AE23" s="459"/>
      <c r="AF23" s="459"/>
      <c r="AG23" s="459"/>
    </row>
    <row r="24" spans="1:33" s="460" customFormat="1" ht="15" customHeight="1" x14ac:dyDescent="0.15">
      <c r="A24" s="471"/>
      <c r="B24" s="702"/>
      <c r="C24" s="699"/>
      <c r="D24" s="710" t="s">
        <v>989</v>
      </c>
      <c r="E24" s="711"/>
      <c r="F24" s="711"/>
      <c r="G24" s="712"/>
      <c r="H24" s="520" t="e">
        <f>Results!N48</f>
        <v>#DIV/0!</v>
      </c>
      <c r="I24" s="520" t="s">
        <v>990</v>
      </c>
      <c r="J24" s="521" t="str">
        <f>Results!C58</f>
        <v>NA</v>
      </c>
      <c r="K24" s="472"/>
      <c r="L24" s="459"/>
      <c r="M24" s="459"/>
      <c r="N24" s="459"/>
      <c r="O24" s="459"/>
      <c r="P24" s="459"/>
      <c r="Q24" s="459"/>
      <c r="R24" s="459"/>
      <c r="S24" s="459"/>
      <c r="T24" s="459"/>
      <c r="U24" s="459"/>
      <c r="V24" s="459"/>
      <c r="W24" s="459"/>
      <c r="X24" s="459"/>
      <c r="Y24" s="459"/>
      <c r="Z24" s="459"/>
      <c r="AA24" s="459"/>
      <c r="AB24" s="459"/>
      <c r="AC24" s="459"/>
      <c r="AD24" s="459"/>
      <c r="AE24" s="459"/>
      <c r="AF24" s="459"/>
      <c r="AG24" s="459"/>
    </row>
    <row r="25" spans="1:33" s="460" customFormat="1" ht="15" customHeight="1" x14ac:dyDescent="0.15">
      <c r="A25" s="471"/>
      <c r="B25" s="702"/>
      <c r="C25" s="699"/>
      <c r="D25" s="710" t="s">
        <v>991</v>
      </c>
      <c r="E25" s="711"/>
      <c r="F25" s="711"/>
      <c r="G25" s="712"/>
      <c r="H25" s="522" t="e">
        <f>Results!N49</f>
        <v>#DIV/0!</v>
      </c>
      <c r="I25" s="520" t="s">
        <v>998</v>
      </c>
      <c r="J25" s="521" t="str">
        <f>Results!C59</f>
        <v>NA</v>
      </c>
      <c r="K25" s="472"/>
      <c r="L25" s="459"/>
      <c r="M25" s="459"/>
      <c r="N25" s="459"/>
      <c r="O25" s="459"/>
      <c r="P25" s="459"/>
      <c r="Q25" s="459"/>
      <c r="R25" s="459"/>
      <c r="S25" s="459"/>
      <c r="T25" s="459"/>
      <c r="U25" s="459"/>
      <c r="V25" s="459"/>
      <c r="W25" s="459"/>
      <c r="X25" s="459"/>
      <c r="Y25" s="459"/>
      <c r="Z25" s="459"/>
      <c r="AA25" s="459"/>
      <c r="AB25" s="459"/>
      <c r="AC25" s="459"/>
      <c r="AD25" s="459"/>
      <c r="AE25" s="459"/>
      <c r="AF25" s="459"/>
      <c r="AG25" s="459"/>
    </row>
    <row r="26" spans="1:33" s="460" customFormat="1" ht="15" customHeight="1" x14ac:dyDescent="0.15">
      <c r="A26" s="471"/>
      <c r="B26" s="703"/>
      <c r="C26" s="700"/>
      <c r="D26" s="710" t="s">
        <v>992</v>
      </c>
      <c r="E26" s="711"/>
      <c r="F26" s="711"/>
      <c r="G26" s="712"/>
      <c r="H26" s="520" t="e">
        <f>Results!N50</f>
        <v>#DIV/0!</v>
      </c>
      <c r="I26" s="520" t="s">
        <v>993</v>
      </c>
      <c r="J26" s="521" t="str">
        <f>Results!C60</f>
        <v>NA</v>
      </c>
      <c r="K26" s="472"/>
      <c r="L26" s="459"/>
      <c r="M26" s="459"/>
      <c r="N26" s="459"/>
      <c r="O26" s="459"/>
      <c r="P26" s="459"/>
      <c r="Q26" s="459"/>
      <c r="R26" s="459"/>
      <c r="S26" s="459"/>
      <c r="T26" s="459"/>
      <c r="U26" s="459"/>
      <c r="V26" s="459"/>
      <c r="W26" s="459"/>
      <c r="X26" s="459"/>
      <c r="Y26" s="459"/>
      <c r="Z26" s="459"/>
      <c r="AA26" s="459"/>
      <c r="AB26" s="459"/>
      <c r="AC26" s="459"/>
      <c r="AD26" s="459"/>
      <c r="AE26" s="459"/>
      <c r="AF26" s="459"/>
      <c r="AG26" s="459"/>
    </row>
    <row r="27" spans="1:33" s="460" customFormat="1" ht="18.75" customHeight="1" x14ac:dyDescent="0.15">
      <c r="A27" s="471"/>
      <c r="B27" s="704" t="s">
        <v>994</v>
      </c>
      <c r="C27" s="705"/>
      <c r="D27" s="705"/>
      <c r="E27" s="705"/>
      <c r="F27" s="705"/>
      <c r="G27" s="705"/>
      <c r="H27" s="705"/>
      <c r="I27" s="705"/>
      <c r="J27" s="706"/>
      <c r="K27" s="472"/>
      <c r="L27" s="459"/>
      <c r="M27" s="459"/>
      <c r="N27" s="459"/>
      <c r="O27" s="459"/>
      <c r="P27" s="459"/>
      <c r="Q27" s="459"/>
      <c r="R27" s="459"/>
      <c r="S27" s="459"/>
      <c r="T27" s="459"/>
      <c r="U27" s="459"/>
      <c r="V27" s="459"/>
      <c r="W27" s="459"/>
      <c r="X27" s="459"/>
      <c r="Y27" s="459"/>
      <c r="Z27" s="459"/>
      <c r="AA27" s="459"/>
      <c r="AB27" s="459"/>
      <c r="AC27" s="459"/>
      <c r="AD27" s="459"/>
      <c r="AE27" s="459"/>
      <c r="AF27" s="459"/>
      <c r="AG27" s="459"/>
    </row>
    <row r="28" spans="1:33" s="460" customFormat="1" ht="15" customHeight="1" x14ac:dyDescent="0.15">
      <c r="A28" s="471"/>
      <c r="B28" s="701" t="s">
        <v>866</v>
      </c>
      <c r="C28" s="731" t="e">
        <f>MIN(IF(J28:J29,J28:J29))</f>
        <v>#VALUE!</v>
      </c>
      <c r="D28" s="728" t="s">
        <v>1144</v>
      </c>
      <c r="E28" s="729"/>
      <c r="F28" s="729"/>
      <c r="G28" s="730"/>
      <c r="H28" s="520" t="e">
        <f>Results!N51</f>
        <v>#DIV/0!</v>
      </c>
      <c r="I28" s="520" t="s">
        <v>154</v>
      </c>
      <c r="J28" s="521" t="str">
        <f>Results!C61</f>
        <v>NA</v>
      </c>
      <c r="K28" s="472"/>
      <c r="L28" s="459"/>
      <c r="M28" s="459"/>
      <c r="N28" s="459"/>
      <c r="O28" s="459"/>
      <c r="P28" s="459"/>
      <c r="Q28" s="459"/>
      <c r="R28" s="459"/>
      <c r="S28" s="459"/>
      <c r="T28" s="459"/>
      <c r="U28" s="459"/>
      <c r="V28" s="459"/>
      <c r="W28" s="459"/>
      <c r="X28" s="459"/>
      <c r="Y28" s="459"/>
      <c r="Z28" s="459"/>
      <c r="AA28" s="459"/>
      <c r="AB28" s="459"/>
      <c r="AC28" s="459"/>
      <c r="AD28" s="459"/>
      <c r="AE28" s="459"/>
      <c r="AF28" s="459"/>
      <c r="AG28" s="459"/>
    </row>
    <row r="29" spans="1:33" s="460" customFormat="1" ht="15" customHeight="1" x14ac:dyDescent="0.15">
      <c r="A29" s="471"/>
      <c r="B29" s="703"/>
      <c r="C29" s="732"/>
      <c r="D29" s="728" t="s">
        <v>1145</v>
      </c>
      <c r="E29" s="729"/>
      <c r="F29" s="729"/>
      <c r="G29" s="730"/>
      <c r="H29" s="520" t="e">
        <f>Results!N52</f>
        <v>#DIV/0!</v>
      </c>
      <c r="I29" s="520" t="s">
        <v>864</v>
      </c>
      <c r="J29" s="521" t="str">
        <f>Results!C62</f>
        <v>NA</v>
      </c>
      <c r="K29" s="472"/>
      <c r="L29" s="459"/>
      <c r="M29" s="459"/>
      <c r="N29" s="459"/>
      <c r="O29" s="459"/>
      <c r="P29" s="459"/>
      <c r="Q29" s="459"/>
      <c r="R29" s="459"/>
      <c r="S29" s="459"/>
      <c r="T29" s="459"/>
      <c r="U29" s="459"/>
      <c r="V29" s="459"/>
      <c r="W29" s="459"/>
      <c r="X29" s="459"/>
      <c r="Y29" s="459"/>
      <c r="Z29" s="459"/>
      <c r="AA29" s="459"/>
      <c r="AB29" s="459"/>
      <c r="AC29" s="459"/>
      <c r="AD29" s="459"/>
      <c r="AE29" s="459"/>
      <c r="AF29" s="459"/>
      <c r="AG29" s="459"/>
    </row>
    <row r="30" spans="1:33" s="460" customFormat="1" ht="18.75" customHeight="1" x14ac:dyDescent="0.15">
      <c r="A30" s="471"/>
      <c r="B30" s="704" t="s">
        <v>865</v>
      </c>
      <c r="C30" s="705"/>
      <c r="D30" s="705"/>
      <c r="E30" s="705"/>
      <c r="F30" s="705"/>
      <c r="G30" s="705"/>
      <c r="H30" s="705"/>
      <c r="I30" s="705"/>
      <c r="J30" s="706"/>
      <c r="K30" s="472"/>
      <c r="L30" s="459"/>
      <c r="M30" s="459"/>
      <c r="N30" s="459"/>
      <c r="O30" s="459"/>
      <c r="P30" s="459"/>
      <c r="Q30" s="459"/>
      <c r="R30" s="459"/>
      <c r="S30" s="459"/>
      <c r="T30" s="459"/>
      <c r="U30" s="459"/>
      <c r="V30" s="459"/>
      <c r="W30" s="459"/>
      <c r="X30" s="459"/>
      <c r="Y30" s="459"/>
      <c r="Z30" s="459"/>
      <c r="AA30" s="459"/>
      <c r="AB30" s="459"/>
      <c r="AC30" s="459"/>
      <c r="AD30" s="459"/>
      <c r="AE30" s="459"/>
      <c r="AF30" s="459"/>
      <c r="AG30" s="459"/>
    </row>
    <row r="31" spans="1:33" ht="26.25" customHeight="1" thickBot="1" x14ac:dyDescent="0.2">
      <c r="A31" s="473"/>
      <c r="B31" s="478" t="s">
        <v>866</v>
      </c>
      <c r="C31" s="539" t="str">
        <f>J31</f>
        <v/>
      </c>
      <c r="D31" s="725" t="s">
        <v>1004</v>
      </c>
      <c r="E31" s="726"/>
      <c r="F31" s="726"/>
      <c r="G31" s="727"/>
      <c r="H31" s="590" t="str">
        <f>IF(J57=0,"",J57)</f>
        <v/>
      </c>
      <c r="I31" s="537" t="s">
        <v>999</v>
      </c>
      <c r="J31" s="538" t="str">
        <f>G61</f>
        <v/>
      </c>
      <c r="K31" s="474"/>
      <c r="L31" s="2"/>
      <c r="M31" s="2"/>
      <c r="N31" s="2"/>
      <c r="O31" s="2"/>
      <c r="P31" s="2"/>
      <c r="Q31" s="2"/>
      <c r="R31" s="2"/>
      <c r="S31" s="2"/>
      <c r="T31" s="2"/>
      <c r="U31" s="2"/>
      <c r="V31" s="2"/>
      <c r="W31" s="2"/>
      <c r="X31" s="2"/>
      <c r="Y31" s="2"/>
      <c r="Z31" s="2"/>
      <c r="AA31" s="2"/>
      <c r="AB31" s="2"/>
      <c r="AC31" s="2"/>
      <c r="AD31" s="2"/>
      <c r="AE31" s="2"/>
      <c r="AF31" s="2"/>
      <c r="AG31" s="2"/>
    </row>
    <row r="32" spans="1:33" ht="18.75" customHeight="1" x14ac:dyDescent="0.15">
      <c r="A32" s="473"/>
      <c r="B32" s="2"/>
      <c r="C32" s="2"/>
      <c r="D32" s="2"/>
      <c r="E32" s="2"/>
      <c r="F32" s="2"/>
      <c r="G32" s="2"/>
      <c r="H32" s="2"/>
      <c r="I32" s="2"/>
      <c r="J32" s="2"/>
      <c r="K32" s="474"/>
      <c r="L32" s="2"/>
      <c r="M32" s="2"/>
      <c r="N32" s="2"/>
      <c r="O32" s="2"/>
      <c r="P32" s="2"/>
      <c r="Q32" s="2"/>
      <c r="R32" s="2"/>
      <c r="S32" s="2"/>
      <c r="T32" s="2"/>
      <c r="U32" s="2"/>
      <c r="V32" s="2"/>
      <c r="W32" s="2"/>
      <c r="X32" s="2"/>
      <c r="Y32" s="2"/>
      <c r="Z32" s="2"/>
      <c r="AA32" s="2"/>
      <c r="AB32" s="2"/>
      <c r="AC32" s="2"/>
      <c r="AD32" s="2"/>
      <c r="AE32" s="2"/>
      <c r="AF32" s="2"/>
      <c r="AG32" s="2"/>
    </row>
    <row r="33" spans="1:33" ht="18.75" customHeight="1" x14ac:dyDescent="0.15">
      <c r="A33" s="719" t="s">
        <v>1000</v>
      </c>
      <c r="B33" s="720"/>
      <c r="C33" s="720"/>
      <c r="D33" s="720"/>
      <c r="E33" s="720"/>
      <c r="F33" s="720"/>
      <c r="G33" s="720"/>
      <c r="H33" s="720"/>
      <c r="I33" s="720"/>
      <c r="J33" s="720"/>
      <c r="K33" s="721"/>
      <c r="L33" s="461"/>
      <c r="M33" s="461"/>
      <c r="N33" s="461"/>
      <c r="O33" s="461"/>
      <c r="P33" s="461"/>
      <c r="Q33" s="461"/>
      <c r="R33" s="461"/>
      <c r="S33" s="461"/>
      <c r="T33" s="461"/>
      <c r="U33" s="461"/>
      <c r="V33" s="461"/>
      <c r="W33" s="461"/>
      <c r="X33" s="461"/>
      <c r="Y33" s="461"/>
      <c r="Z33" s="461"/>
      <c r="AA33" s="461"/>
      <c r="AB33" s="461"/>
      <c r="AC33" s="2"/>
      <c r="AD33" s="2"/>
      <c r="AE33" s="2"/>
      <c r="AF33" s="2"/>
      <c r="AG33" s="2"/>
    </row>
    <row r="34" spans="1:33" ht="18.75" customHeight="1" x14ac:dyDescent="0.15">
      <c r="A34" s="473"/>
      <c r="B34" s="2"/>
      <c r="C34" s="2"/>
      <c r="D34" s="2"/>
      <c r="E34" s="2"/>
      <c r="F34" s="2"/>
      <c r="G34" s="2"/>
      <c r="H34" s="2"/>
      <c r="I34" s="2"/>
      <c r="J34" s="2"/>
      <c r="K34" s="474"/>
      <c r="L34" s="2"/>
      <c r="M34" s="2"/>
      <c r="N34" s="2"/>
      <c r="O34" s="2"/>
      <c r="P34" s="2"/>
      <c r="Q34" s="2"/>
      <c r="R34" s="2"/>
      <c r="S34" s="2"/>
      <c r="T34" s="2"/>
      <c r="U34" s="2"/>
      <c r="V34" s="2"/>
      <c r="W34" s="2"/>
      <c r="X34" s="2"/>
      <c r="Y34" s="2"/>
      <c r="Z34" s="2"/>
      <c r="AA34" s="2"/>
      <c r="AB34" s="2"/>
      <c r="AC34" s="2"/>
      <c r="AD34" s="2"/>
      <c r="AE34" s="2"/>
      <c r="AF34" s="2"/>
      <c r="AG34" s="2"/>
    </row>
    <row r="35" spans="1:33" ht="18.75" customHeight="1" x14ac:dyDescent="0.15">
      <c r="A35" s="733" t="s">
        <v>1003</v>
      </c>
      <c r="B35" s="734"/>
      <c r="C35" s="734"/>
      <c r="D35" s="734"/>
      <c r="E35" s="734"/>
      <c r="F35" s="734"/>
      <c r="G35" s="734"/>
      <c r="H35" s="734"/>
      <c r="I35" s="734"/>
      <c r="J35" s="734"/>
      <c r="K35" s="735"/>
      <c r="L35" s="2"/>
      <c r="M35" s="2"/>
      <c r="N35" s="2"/>
      <c r="O35" s="2"/>
      <c r="P35" s="2"/>
      <c r="Q35" s="2"/>
      <c r="R35" s="2"/>
      <c r="S35" s="2"/>
      <c r="T35" s="2"/>
      <c r="U35" s="2"/>
      <c r="V35" s="2"/>
      <c r="W35" s="2"/>
      <c r="X35" s="2"/>
      <c r="Y35" s="2"/>
      <c r="Z35" s="2"/>
      <c r="AA35" s="2"/>
      <c r="AB35" s="2"/>
      <c r="AC35" s="2"/>
      <c r="AD35" s="2"/>
      <c r="AE35" s="2"/>
      <c r="AF35" s="2"/>
      <c r="AG35" s="2"/>
    </row>
    <row r="36" spans="1:33" ht="24" customHeight="1" x14ac:dyDescent="0.15">
      <c r="A36" s="736" t="s">
        <v>1002</v>
      </c>
      <c r="B36" s="737"/>
      <c r="C36" s="737"/>
      <c r="D36" s="737"/>
      <c r="E36" s="737"/>
      <c r="F36" s="737"/>
      <c r="G36" s="737"/>
      <c r="H36" s="737"/>
      <c r="I36" s="737"/>
      <c r="J36" s="737"/>
      <c r="K36" s="738"/>
      <c r="L36" s="2"/>
      <c r="M36" s="2"/>
      <c r="N36" s="2"/>
      <c r="O36" s="2"/>
      <c r="P36" s="2"/>
      <c r="Q36" s="2"/>
      <c r="R36" s="2"/>
      <c r="S36" s="2"/>
      <c r="T36" s="2"/>
      <c r="U36" s="2"/>
      <c r="V36" s="2"/>
      <c r="W36" s="2"/>
      <c r="X36" s="2"/>
      <c r="Y36" s="2"/>
      <c r="Z36" s="2"/>
      <c r="AA36" s="2"/>
      <c r="AB36" s="2"/>
      <c r="AC36" s="2"/>
      <c r="AD36" s="2"/>
      <c r="AE36" s="2"/>
      <c r="AF36" s="2"/>
      <c r="AG36" s="2"/>
    </row>
    <row r="37" spans="1:33" ht="13.5" thickBot="1" x14ac:dyDescent="0.2">
      <c r="A37" s="475"/>
      <c r="B37" s="476"/>
      <c r="C37" s="476"/>
      <c r="D37" s="476"/>
      <c r="E37" s="476"/>
      <c r="F37" s="476"/>
      <c r="G37" s="476"/>
      <c r="H37" s="476"/>
      <c r="I37" s="476"/>
      <c r="J37" s="476"/>
      <c r="K37" s="477"/>
      <c r="L37" s="2"/>
      <c r="M37" s="2"/>
      <c r="N37" s="2"/>
      <c r="O37" s="2"/>
      <c r="P37" s="2"/>
      <c r="Q37" s="2"/>
      <c r="R37" s="2"/>
      <c r="S37" s="2"/>
      <c r="T37" s="2"/>
      <c r="U37" s="2"/>
      <c r="V37" s="2"/>
      <c r="W37" s="2"/>
      <c r="X37" s="2"/>
      <c r="Y37" s="2"/>
      <c r="Z37" s="2"/>
      <c r="AA37" s="2"/>
      <c r="AB37" s="2"/>
      <c r="AC37" s="2"/>
      <c r="AD37" s="2"/>
      <c r="AE37" s="2"/>
      <c r="AF37" s="2"/>
      <c r="AG37" s="2"/>
    </row>
    <row r="38" spans="1:33" ht="14.25" thickTop="1" thickBot="1" x14ac:dyDescent="0.2">
      <c r="L38" s="2"/>
      <c r="M38" s="2"/>
      <c r="N38" s="2"/>
      <c r="O38" s="2"/>
      <c r="P38" s="2"/>
      <c r="Q38" s="2"/>
      <c r="R38" s="2"/>
      <c r="S38" s="2"/>
      <c r="T38" s="2"/>
      <c r="U38" s="2"/>
      <c r="V38" s="2"/>
      <c r="W38" s="2"/>
      <c r="X38" s="2"/>
      <c r="Y38" s="2"/>
      <c r="Z38" s="2"/>
      <c r="AA38" s="2"/>
      <c r="AB38" s="2"/>
      <c r="AC38" s="2"/>
      <c r="AD38" s="2"/>
      <c r="AE38" s="2"/>
      <c r="AF38" s="2"/>
      <c r="AG38" s="2"/>
    </row>
    <row r="39" spans="1:33" ht="13.5" thickTop="1" x14ac:dyDescent="0.15">
      <c r="A39" s="466"/>
      <c r="B39" s="467"/>
      <c r="C39" s="467"/>
      <c r="D39" s="467"/>
      <c r="E39" s="467"/>
      <c r="F39" s="467"/>
      <c r="G39" s="467"/>
      <c r="H39" s="467"/>
      <c r="I39" s="467"/>
      <c r="J39" s="467"/>
      <c r="K39" s="468"/>
      <c r="L39" s="2"/>
      <c r="M39" s="2"/>
      <c r="N39" s="2"/>
      <c r="O39" s="2"/>
      <c r="P39" s="2"/>
      <c r="Q39" s="2"/>
      <c r="R39" s="2"/>
      <c r="S39" s="2"/>
      <c r="T39" s="2"/>
      <c r="U39" s="2"/>
      <c r="V39" s="2"/>
    </row>
    <row r="40" spans="1:33" ht="74.099999999999994" customHeight="1" x14ac:dyDescent="0.15">
      <c r="A40" s="673"/>
      <c r="B40" s="641"/>
      <c r="C40" s="641"/>
      <c r="D40" s="641"/>
      <c r="E40" s="641"/>
      <c r="F40" s="641"/>
      <c r="G40" s="641"/>
      <c r="H40" s="641"/>
      <c r="I40" s="641"/>
      <c r="J40" s="641"/>
      <c r="K40" s="674"/>
      <c r="L40" s="2"/>
      <c r="M40" s="2"/>
      <c r="N40" s="2"/>
      <c r="O40" s="2"/>
      <c r="P40" s="2"/>
      <c r="Q40" s="2"/>
      <c r="R40" s="2"/>
      <c r="S40" s="2"/>
      <c r="T40" s="2"/>
      <c r="U40" s="2"/>
      <c r="V40" s="2"/>
    </row>
    <row r="41" spans="1:33" ht="24.6" customHeight="1" x14ac:dyDescent="0.15">
      <c r="A41" s="683" t="s">
        <v>1013</v>
      </c>
      <c r="B41" s="684"/>
      <c r="C41" s="684"/>
      <c r="D41" s="684"/>
      <c r="E41" s="684"/>
      <c r="F41" s="684"/>
      <c r="G41" s="684"/>
      <c r="H41" s="684"/>
      <c r="I41" s="684"/>
      <c r="J41" s="684"/>
      <c r="K41" s="685"/>
      <c r="L41" s="2"/>
      <c r="M41" s="2"/>
      <c r="N41" s="2"/>
      <c r="O41" s="2"/>
      <c r="P41" s="2"/>
      <c r="Q41" s="2"/>
      <c r="R41" s="2"/>
      <c r="S41" s="2"/>
      <c r="T41" s="2"/>
      <c r="U41" s="2"/>
      <c r="V41" s="2"/>
    </row>
    <row r="42" spans="1:33" x14ac:dyDescent="0.15">
      <c r="A42" s="531"/>
      <c r="B42" s="265"/>
      <c r="C42" s="265"/>
      <c r="D42" s="265"/>
      <c r="E42" s="265"/>
      <c r="F42" s="265"/>
      <c r="G42" s="265"/>
      <c r="H42" s="265"/>
      <c r="I42" s="265"/>
      <c r="J42" s="265"/>
      <c r="K42" s="532"/>
      <c r="L42" s="2"/>
      <c r="M42" s="2"/>
      <c r="N42" s="2"/>
      <c r="O42" s="2"/>
      <c r="P42" s="2"/>
      <c r="Q42" s="2"/>
      <c r="R42" s="2"/>
      <c r="S42" s="2"/>
      <c r="T42" s="2"/>
      <c r="U42" s="2"/>
      <c r="V42" s="2"/>
    </row>
    <row r="43" spans="1:33" ht="12" customHeight="1" x14ac:dyDescent="0.15">
      <c r="A43" s="742" t="s">
        <v>1122</v>
      </c>
      <c r="B43" s="743"/>
      <c r="C43" s="743"/>
      <c r="D43" s="743"/>
      <c r="E43" s="743"/>
      <c r="F43" s="743"/>
      <c r="G43" s="743"/>
      <c r="H43" s="743"/>
      <c r="I43" s="743"/>
      <c r="J43" s="743"/>
      <c r="K43" s="744"/>
      <c r="L43" s="2"/>
      <c r="M43" s="2"/>
      <c r="N43" s="2"/>
      <c r="O43" s="2"/>
      <c r="P43" s="2"/>
      <c r="Q43" s="2"/>
      <c r="R43" s="2"/>
      <c r="S43" s="2"/>
      <c r="T43" s="2"/>
      <c r="U43" s="2"/>
      <c r="V43" s="2"/>
    </row>
    <row r="44" spans="1:33" x14ac:dyDescent="0.15">
      <c r="A44" s="739" t="s">
        <v>1121</v>
      </c>
      <c r="B44" s="740"/>
      <c r="C44" s="740"/>
      <c r="D44" s="740"/>
      <c r="E44" s="740"/>
      <c r="F44" s="740"/>
      <c r="G44" s="740"/>
      <c r="H44" s="740"/>
      <c r="I44" s="740"/>
      <c r="J44" s="740"/>
      <c r="K44" s="741"/>
      <c r="L44" s="2"/>
      <c r="M44" s="2"/>
      <c r="N44" s="2"/>
      <c r="O44" s="2"/>
      <c r="P44" s="2"/>
      <c r="Q44" s="2"/>
      <c r="R44" s="2"/>
      <c r="S44" s="2"/>
      <c r="T44" s="2"/>
      <c r="U44" s="2"/>
      <c r="V44" s="2"/>
    </row>
    <row r="45" spans="1:33" ht="13.5" thickBot="1" x14ac:dyDescent="0.2">
      <c r="A45" s="473"/>
      <c r="B45" s="2"/>
      <c r="C45" s="2"/>
      <c r="D45" s="2"/>
      <c r="E45" s="2"/>
      <c r="F45" s="2"/>
      <c r="G45" s="2"/>
      <c r="H45" s="2"/>
      <c r="I45" s="2"/>
      <c r="J45" s="2"/>
      <c r="K45" s="474"/>
      <c r="L45" s="2"/>
      <c r="M45" s="2"/>
      <c r="N45" s="2"/>
      <c r="O45" s="2"/>
      <c r="P45" s="2"/>
      <c r="Q45" s="2"/>
      <c r="R45" s="2"/>
      <c r="S45" s="2"/>
      <c r="T45" s="2"/>
      <c r="U45" s="2"/>
      <c r="V45" s="2"/>
    </row>
    <row r="46" spans="1:33" ht="12.75" customHeight="1" thickBot="1" x14ac:dyDescent="0.2">
      <c r="A46" s="473"/>
      <c r="B46" s="722" t="s">
        <v>1014</v>
      </c>
      <c r="C46" s="723"/>
      <c r="D46" s="723"/>
      <c r="E46" s="723"/>
      <c r="F46" s="723"/>
      <c r="G46" s="724"/>
      <c r="H46" s="516" t="s">
        <v>1027</v>
      </c>
      <c r="I46" s="516" t="s">
        <v>1015</v>
      </c>
      <c r="J46" s="517" t="s">
        <v>1030</v>
      </c>
      <c r="K46" s="474"/>
      <c r="L46" s="2"/>
      <c r="M46" s="2"/>
      <c r="N46" s="2"/>
      <c r="O46" s="2"/>
      <c r="P46" s="2"/>
      <c r="Q46" s="2"/>
      <c r="R46" s="2"/>
      <c r="S46" s="2"/>
      <c r="T46" s="2"/>
      <c r="U46" s="2"/>
      <c r="V46" s="2"/>
    </row>
    <row r="47" spans="1:33" x14ac:dyDescent="0.15">
      <c r="A47" s="473"/>
      <c r="B47" s="754" t="s">
        <v>1017</v>
      </c>
      <c r="C47" s="755"/>
      <c r="D47" s="755"/>
      <c r="E47" s="755"/>
      <c r="F47" s="755"/>
      <c r="G47" s="756"/>
      <c r="H47" s="514"/>
      <c r="I47" s="515">
        <v>1.5</v>
      </c>
      <c r="J47" s="587">
        <f>H47*I47</f>
        <v>0</v>
      </c>
      <c r="K47" s="474"/>
      <c r="L47" s="2"/>
      <c r="M47" s="2"/>
      <c r="N47" s="2"/>
      <c r="O47" s="2"/>
      <c r="P47" s="2"/>
      <c r="Q47" s="2"/>
      <c r="R47" s="2"/>
      <c r="S47" s="2"/>
      <c r="T47" s="2"/>
      <c r="U47" s="2"/>
      <c r="V47" s="2"/>
    </row>
    <row r="48" spans="1:33" x14ac:dyDescent="0.15">
      <c r="A48" s="473"/>
      <c r="B48" s="745" t="s">
        <v>1018</v>
      </c>
      <c r="C48" s="746"/>
      <c r="D48" s="746"/>
      <c r="E48" s="746"/>
      <c r="F48" s="746"/>
      <c r="G48" s="747"/>
      <c r="H48" s="512"/>
      <c r="I48" s="509">
        <v>3</v>
      </c>
      <c r="J48" s="587">
        <f t="shared" ref="J48:J56" si="0">H48*I48</f>
        <v>0</v>
      </c>
      <c r="K48" s="474"/>
      <c r="L48" s="2"/>
      <c r="M48" s="2"/>
      <c r="N48" s="2"/>
      <c r="O48" s="2"/>
      <c r="P48" s="2"/>
      <c r="Q48" s="2"/>
      <c r="R48" s="2"/>
      <c r="S48" s="2"/>
      <c r="T48" s="2"/>
      <c r="U48" s="2"/>
      <c r="V48" s="2"/>
    </row>
    <row r="49" spans="1:22" x14ac:dyDescent="0.15">
      <c r="A49" s="473"/>
      <c r="B49" s="745" t="s">
        <v>1019</v>
      </c>
      <c r="C49" s="746"/>
      <c r="D49" s="746"/>
      <c r="E49" s="746"/>
      <c r="F49" s="746"/>
      <c r="G49" s="747"/>
      <c r="H49" s="512"/>
      <c r="I49" s="509">
        <v>2.5</v>
      </c>
      <c r="J49" s="587">
        <f t="shared" si="0"/>
        <v>0</v>
      </c>
      <c r="K49" s="474"/>
      <c r="L49" s="2"/>
      <c r="M49" s="2"/>
      <c r="N49" s="2"/>
      <c r="O49" s="2"/>
      <c r="P49" s="2"/>
      <c r="Q49" s="2"/>
      <c r="R49" s="2"/>
      <c r="S49" s="2"/>
      <c r="T49" s="2"/>
      <c r="U49" s="2"/>
      <c r="V49" s="2"/>
    </row>
    <row r="50" spans="1:22" x14ac:dyDescent="0.15">
      <c r="A50" s="473"/>
      <c r="B50" s="745" t="s">
        <v>1020</v>
      </c>
      <c r="C50" s="746"/>
      <c r="D50" s="746"/>
      <c r="E50" s="746"/>
      <c r="F50" s="746"/>
      <c r="G50" s="747"/>
      <c r="H50" s="512"/>
      <c r="I50" s="509">
        <v>2</v>
      </c>
      <c r="J50" s="587">
        <f t="shared" si="0"/>
        <v>0</v>
      </c>
      <c r="K50" s="474"/>
      <c r="L50" s="2"/>
      <c r="M50" s="2"/>
      <c r="N50" s="2"/>
      <c r="O50" s="2"/>
      <c r="P50" s="2"/>
      <c r="Q50" s="2"/>
      <c r="R50" s="2"/>
      <c r="S50" s="2"/>
      <c r="T50" s="2"/>
      <c r="U50" s="2"/>
      <c r="V50" s="2"/>
    </row>
    <row r="51" spans="1:22" x14ac:dyDescent="0.15">
      <c r="A51" s="473"/>
      <c r="B51" s="745" t="s">
        <v>1021</v>
      </c>
      <c r="C51" s="746"/>
      <c r="D51" s="746"/>
      <c r="E51" s="746"/>
      <c r="F51" s="746"/>
      <c r="G51" s="747"/>
      <c r="H51" s="512"/>
      <c r="I51" s="509">
        <v>2</v>
      </c>
      <c r="J51" s="587">
        <f t="shared" si="0"/>
        <v>0</v>
      </c>
      <c r="K51" s="474"/>
      <c r="L51" s="2"/>
      <c r="M51" s="2"/>
      <c r="N51" s="2"/>
      <c r="O51" s="2"/>
      <c r="P51" s="2"/>
      <c r="Q51" s="2"/>
      <c r="R51" s="2"/>
      <c r="S51" s="2"/>
      <c r="T51" s="2"/>
      <c r="U51" s="2"/>
      <c r="V51" s="2"/>
    </row>
    <row r="52" spans="1:22" x14ac:dyDescent="0.15">
      <c r="A52" s="473"/>
      <c r="B52" s="745" t="s">
        <v>1022</v>
      </c>
      <c r="C52" s="746"/>
      <c r="D52" s="746"/>
      <c r="E52" s="746"/>
      <c r="F52" s="746"/>
      <c r="G52" s="747"/>
      <c r="H52" s="512"/>
      <c r="I52" s="509">
        <v>2.5</v>
      </c>
      <c r="J52" s="587">
        <f t="shared" si="0"/>
        <v>0</v>
      </c>
      <c r="K52" s="474"/>
      <c r="L52" s="2"/>
      <c r="M52" s="2"/>
      <c r="N52" s="2"/>
      <c r="O52" s="2"/>
      <c r="P52" s="2"/>
      <c r="Q52" s="2"/>
      <c r="R52" s="2"/>
      <c r="S52" s="2"/>
      <c r="T52" s="2"/>
      <c r="U52" s="2"/>
      <c r="V52" s="2"/>
    </row>
    <row r="53" spans="1:22" x14ac:dyDescent="0.15">
      <c r="A53" s="473"/>
      <c r="B53" s="745" t="s">
        <v>1023</v>
      </c>
      <c r="C53" s="746"/>
      <c r="D53" s="746"/>
      <c r="E53" s="746"/>
      <c r="F53" s="746"/>
      <c r="G53" s="747"/>
      <c r="H53" s="512"/>
      <c r="I53" s="509">
        <v>2</v>
      </c>
      <c r="J53" s="587">
        <f t="shared" si="0"/>
        <v>0</v>
      </c>
      <c r="K53" s="474"/>
      <c r="L53" s="2"/>
      <c r="M53" s="2"/>
      <c r="N53" s="2"/>
      <c r="O53" s="2"/>
      <c r="P53" s="2"/>
      <c r="Q53" s="2"/>
      <c r="R53" s="2"/>
      <c r="S53" s="2"/>
      <c r="T53" s="2"/>
      <c r="U53" s="2"/>
      <c r="V53" s="2"/>
    </row>
    <row r="54" spans="1:22" x14ac:dyDescent="0.15">
      <c r="A54" s="473"/>
      <c r="B54" s="745" t="s">
        <v>1024</v>
      </c>
      <c r="C54" s="746"/>
      <c r="D54" s="746"/>
      <c r="E54" s="746"/>
      <c r="F54" s="746"/>
      <c r="G54" s="747"/>
      <c r="H54" s="512"/>
      <c r="I54" s="509">
        <v>2.5</v>
      </c>
      <c r="J54" s="587">
        <f t="shared" si="0"/>
        <v>0</v>
      </c>
      <c r="K54" s="474"/>
      <c r="L54" s="2"/>
      <c r="M54" s="2"/>
      <c r="N54" s="2"/>
      <c r="O54" s="2"/>
      <c r="P54" s="2"/>
      <c r="Q54" s="2"/>
      <c r="R54" s="2"/>
      <c r="S54" s="2"/>
      <c r="T54" s="2"/>
      <c r="U54" s="2"/>
      <c r="V54" s="2"/>
    </row>
    <row r="55" spans="1:22" x14ac:dyDescent="0.15">
      <c r="A55" s="473"/>
      <c r="B55" s="745" t="s">
        <v>1025</v>
      </c>
      <c r="C55" s="746"/>
      <c r="D55" s="746"/>
      <c r="E55" s="746"/>
      <c r="F55" s="746"/>
      <c r="G55" s="747"/>
      <c r="H55" s="512"/>
      <c r="I55" s="509">
        <v>3</v>
      </c>
      <c r="J55" s="587">
        <f t="shared" si="0"/>
        <v>0</v>
      </c>
      <c r="K55" s="474"/>
      <c r="L55" s="2"/>
      <c r="M55" s="2"/>
      <c r="N55" s="2"/>
      <c r="O55" s="2"/>
      <c r="P55" s="2"/>
      <c r="Q55" s="2"/>
      <c r="R55" s="2"/>
      <c r="S55" s="2"/>
      <c r="T55" s="2"/>
      <c r="U55" s="2"/>
      <c r="V55" s="2"/>
    </row>
    <row r="56" spans="1:22" ht="13.5" customHeight="1" thickBot="1" x14ac:dyDescent="0.2">
      <c r="A56" s="473"/>
      <c r="B56" s="748" t="s">
        <v>1026</v>
      </c>
      <c r="C56" s="749"/>
      <c r="D56" s="749"/>
      <c r="E56" s="749"/>
      <c r="F56" s="749"/>
      <c r="G56" s="750"/>
      <c r="H56" s="513"/>
      <c r="I56" s="510">
        <v>4</v>
      </c>
      <c r="J56" s="588">
        <f t="shared" si="0"/>
        <v>0</v>
      </c>
      <c r="K56" s="474"/>
      <c r="L56" s="2"/>
      <c r="M56" s="2"/>
      <c r="N56" s="2"/>
      <c r="O56" s="2"/>
      <c r="P56" s="2"/>
      <c r="Q56" s="2"/>
      <c r="R56" s="2"/>
      <c r="S56" s="2"/>
      <c r="T56" s="2"/>
      <c r="U56" s="2"/>
      <c r="V56" s="2"/>
    </row>
    <row r="57" spans="1:22" ht="13.5" thickBot="1" x14ac:dyDescent="0.2">
      <c r="A57" s="473"/>
      <c r="B57" s="2"/>
      <c r="C57" s="2"/>
      <c r="D57" s="2"/>
      <c r="E57" s="2"/>
      <c r="F57" s="2"/>
      <c r="H57" s="2"/>
      <c r="I57" s="511" t="s">
        <v>1016</v>
      </c>
      <c r="J57" s="589">
        <f>SUM(J47:J56)</f>
        <v>0</v>
      </c>
      <c r="K57" s="474"/>
      <c r="L57" s="2"/>
      <c r="M57" s="2"/>
      <c r="N57" s="2"/>
      <c r="O57" s="2"/>
      <c r="P57" s="2"/>
      <c r="Q57" s="2"/>
      <c r="R57" s="2"/>
      <c r="S57" s="2"/>
      <c r="T57" s="2"/>
      <c r="U57" s="2"/>
      <c r="V57" s="2"/>
    </row>
    <row r="58" spans="1:22" ht="13.5" thickBot="1" x14ac:dyDescent="0.2">
      <c r="A58" s="473"/>
      <c r="B58" s="2"/>
      <c r="C58" s="2"/>
      <c r="D58" s="2"/>
      <c r="E58" s="2"/>
      <c r="F58" s="2"/>
      <c r="G58" s="2"/>
      <c r="H58" s="2"/>
      <c r="I58" s="2"/>
      <c r="J58" s="2"/>
      <c r="K58" s="474"/>
      <c r="L58" s="2"/>
      <c r="M58" s="2"/>
      <c r="N58" s="2"/>
      <c r="O58" s="2"/>
      <c r="P58" s="2"/>
      <c r="Q58" s="2"/>
      <c r="R58" s="2"/>
      <c r="S58" s="2"/>
      <c r="T58" s="2"/>
      <c r="U58" s="2"/>
      <c r="V58" s="2"/>
    </row>
    <row r="59" spans="1:22" ht="23.85" customHeight="1" thickBot="1" x14ac:dyDescent="0.2">
      <c r="A59" s="473"/>
      <c r="B59" s="2"/>
      <c r="D59" s="751" t="s">
        <v>1028</v>
      </c>
      <c r="E59" s="752"/>
      <c r="F59" s="753"/>
      <c r="G59" s="518" t="str">
        <f>IF(J57=0,"",IF(J57&lt;=75,"Poor",IF(J57&lt;=83,"Fair",IF(J57&lt;=92,"Good","Best"))))</f>
        <v/>
      </c>
      <c r="H59" s="519"/>
      <c r="I59" s="2"/>
      <c r="J59" s="2"/>
      <c r="K59" s="474"/>
      <c r="L59" s="2"/>
      <c r="M59" s="2"/>
      <c r="N59" s="2"/>
      <c r="O59" s="2"/>
      <c r="P59" s="2"/>
      <c r="Q59" s="2"/>
      <c r="R59" s="2"/>
      <c r="S59" s="2"/>
      <c r="T59" s="2"/>
      <c r="U59" s="2"/>
      <c r="V59" s="2"/>
    </row>
    <row r="60" spans="1:22" ht="13.5" thickBot="1" x14ac:dyDescent="0.2">
      <c r="A60" s="473"/>
      <c r="B60" s="2"/>
      <c r="C60" s="2"/>
      <c r="D60" s="2"/>
      <c r="E60" s="2"/>
      <c r="F60" s="2"/>
      <c r="G60" s="2"/>
      <c r="H60" s="2"/>
      <c r="I60" s="2"/>
      <c r="J60" s="2"/>
      <c r="K60" s="474"/>
      <c r="L60" s="2"/>
      <c r="M60" s="2"/>
      <c r="N60" s="2"/>
      <c r="O60" s="2"/>
      <c r="P60" s="2"/>
      <c r="Q60" s="2"/>
      <c r="R60" s="2"/>
      <c r="S60" s="2"/>
      <c r="T60" s="2"/>
      <c r="U60" s="2"/>
      <c r="V60" s="2"/>
    </row>
    <row r="61" spans="1:22" ht="23.85" customHeight="1" thickBot="1" x14ac:dyDescent="0.2">
      <c r="A61" s="473"/>
      <c r="B61" s="2"/>
      <c r="D61" s="751" t="s">
        <v>1029</v>
      </c>
      <c r="E61" s="752"/>
      <c r="F61" s="753"/>
      <c r="G61" s="518" t="str">
        <f>IF(J57=0,"",IF(J57&lt;45,"0",IF(J57&lt;75,"1",IF(J57&lt;88,"2",IF(J57&lt;95,"3","4")))))</f>
        <v/>
      </c>
      <c r="H61" s="519"/>
      <c r="I61" s="2"/>
      <c r="J61" s="2"/>
      <c r="K61" s="474"/>
      <c r="L61" s="2"/>
      <c r="M61" s="2"/>
      <c r="N61" s="2"/>
      <c r="O61" s="2"/>
      <c r="P61" s="2"/>
      <c r="Q61" s="2"/>
      <c r="R61" s="2"/>
      <c r="S61" s="2"/>
      <c r="T61" s="2"/>
      <c r="U61" s="2"/>
      <c r="V61" s="2"/>
    </row>
    <row r="62" spans="1:22" x14ac:dyDescent="0.15">
      <c r="A62" s="473"/>
      <c r="B62" s="2"/>
      <c r="C62" s="2"/>
      <c r="D62" s="2"/>
      <c r="E62" s="2"/>
      <c r="F62" s="2"/>
      <c r="G62" s="2"/>
      <c r="H62" s="2"/>
      <c r="I62" s="2"/>
      <c r="J62" s="2"/>
      <c r="K62" s="474"/>
      <c r="L62" s="2"/>
      <c r="M62" s="2"/>
      <c r="N62" s="2"/>
      <c r="O62" s="2"/>
      <c r="P62" s="2"/>
      <c r="Q62" s="2"/>
      <c r="R62" s="2"/>
      <c r="S62" s="2"/>
      <c r="T62" s="2"/>
      <c r="U62" s="2"/>
      <c r="V62" s="2"/>
    </row>
    <row r="63" spans="1:22" x14ac:dyDescent="0.15">
      <c r="A63" s="473"/>
      <c r="B63" s="2"/>
      <c r="C63" s="2"/>
      <c r="D63" s="2"/>
      <c r="E63" s="2"/>
      <c r="F63" s="2"/>
      <c r="G63" s="2"/>
      <c r="H63" s="2"/>
      <c r="I63" s="2"/>
      <c r="J63" s="2"/>
      <c r="K63" s="474"/>
      <c r="L63" s="2"/>
      <c r="M63" s="2"/>
      <c r="N63" s="2"/>
      <c r="O63" s="2"/>
      <c r="P63" s="2"/>
      <c r="Q63" s="2"/>
      <c r="R63" s="2"/>
      <c r="S63" s="2"/>
      <c r="T63" s="2"/>
      <c r="U63" s="2"/>
      <c r="V63" s="2"/>
    </row>
    <row r="64" spans="1:22" x14ac:dyDescent="0.15">
      <c r="A64" s="473"/>
      <c r="B64" s="2"/>
      <c r="C64" s="2"/>
      <c r="D64" s="2"/>
      <c r="E64" s="2"/>
      <c r="F64" s="2"/>
      <c r="G64" s="2"/>
      <c r="H64" s="2"/>
      <c r="I64" s="2"/>
      <c r="J64" s="2"/>
      <c r="K64" s="474"/>
      <c r="L64" s="2"/>
      <c r="M64" s="2"/>
      <c r="N64" s="2"/>
      <c r="O64" s="2"/>
      <c r="P64" s="2"/>
      <c r="Q64" s="2"/>
      <c r="R64" s="2"/>
      <c r="S64" s="2"/>
      <c r="T64" s="2"/>
      <c r="U64" s="2"/>
      <c r="V64" s="2"/>
    </row>
    <row r="65" spans="1:22" x14ac:dyDescent="0.15">
      <c r="A65" s="473"/>
      <c r="B65" s="2"/>
      <c r="C65" s="2"/>
      <c r="D65" s="2"/>
      <c r="E65" s="2"/>
      <c r="F65" s="2"/>
      <c r="G65" s="2"/>
      <c r="H65" s="2"/>
      <c r="I65" s="2"/>
      <c r="J65" s="2"/>
      <c r="K65" s="474"/>
      <c r="L65" s="2"/>
      <c r="M65" s="2"/>
      <c r="N65" s="2"/>
      <c r="O65" s="2"/>
      <c r="P65" s="2"/>
      <c r="Q65" s="2"/>
      <c r="R65" s="2"/>
      <c r="S65" s="2"/>
      <c r="T65" s="2"/>
      <c r="U65" s="2"/>
      <c r="V65" s="2"/>
    </row>
    <row r="66" spans="1:22" x14ac:dyDescent="0.15">
      <c r="A66" s="473"/>
      <c r="B66" s="2"/>
      <c r="C66" s="2"/>
      <c r="D66" s="2"/>
      <c r="E66" s="2"/>
      <c r="F66" s="2"/>
      <c r="G66" s="2"/>
      <c r="H66" s="2"/>
      <c r="I66" s="2"/>
      <c r="J66" s="2"/>
      <c r="K66" s="474"/>
      <c r="L66" s="2"/>
      <c r="M66" s="2"/>
      <c r="N66" s="2"/>
      <c r="O66" s="2"/>
      <c r="P66" s="2"/>
      <c r="Q66" s="2"/>
      <c r="R66" s="2"/>
      <c r="S66" s="2"/>
      <c r="T66" s="2"/>
      <c r="U66" s="2"/>
      <c r="V66" s="2"/>
    </row>
    <row r="67" spans="1:22" x14ac:dyDescent="0.15">
      <c r="A67" s="473"/>
      <c r="B67" s="2"/>
      <c r="C67" s="2"/>
      <c r="D67" s="2"/>
      <c r="E67" s="2"/>
      <c r="F67" s="2"/>
      <c r="G67" s="2"/>
      <c r="H67" s="2"/>
      <c r="I67" s="2"/>
      <c r="J67" s="2"/>
      <c r="K67" s="474"/>
      <c r="L67" s="2"/>
      <c r="M67" s="2"/>
      <c r="N67" s="2"/>
      <c r="O67" s="2"/>
      <c r="P67" s="2"/>
      <c r="Q67" s="2"/>
      <c r="R67" s="2"/>
      <c r="S67" s="2"/>
      <c r="T67" s="2"/>
      <c r="U67" s="2"/>
      <c r="V67" s="2"/>
    </row>
    <row r="68" spans="1:22" x14ac:dyDescent="0.15">
      <c r="A68" s="473"/>
      <c r="B68" s="2"/>
      <c r="C68" s="2"/>
      <c r="D68" s="2"/>
      <c r="E68" s="2"/>
      <c r="F68" s="2"/>
      <c r="G68" s="2"/>
      <c r="H68" s="2"/>
      <c r="I68" s="2"/>
      <c r="J68" s="2"/>
      <c r="K68" s="474"/>
      <c r="L68" s="2"/>
      <c r="M68" s="2"/>
      <c r="N68" s="2"/>
      <c r="O68" s="2"/>
      <c r="P68" s="2"/>
      <c r="Q68" s="2"/>
      <c r="R68" s="2"/>
      <c r="S68" s="2"/>
      <c r="T68" s="2"/>
      <c r="U68" s="2"/>
      <c r="V68" s="2"/>
    </row>
    <row r="69" spans="1:22" x14ac:dyDescent="0.15">
      <c r="A69" s="473"/>
      <c r="B69" s="2"/>
      <c r="C69" s="2"/>
      <c r="D69" s="2"/>
      <c r="E69" s="2"/>
      <c r="F69" s="2"/>
      <c r="G69" s="2"/>
      <c r="H69" s="2"/>
      <c r="I69" s="2"/>
      <c r="J69" s="2"/>
      <c r="K69" s="474"/>
      <c r="L69" s="2"/>
      <c r="M69" s="2"/>
      <c r="N69" s="2"/>
      <c r="O69" s="2"/>
      <c r="P69" s="2"/>
      <c r="Q69" s="2"/>
      <c r="R69" s="2"/>
      <c r="S69" s="2"/>
      <c r="T69" s="2"/>
      <c r="U69" s="2"/>
      <c r="V69" s="2"/>
    </row>
    <row r="70" spans="1:22" x14ac:dyDescent="0.15">
      <c r="A70" s="473"/>
      <c r="B70" s="2"/>
      <c r="C70" s="2"/>
      <c r="D70" s="2"/>
      <c r="E70" s="2"/>
      <c r="F70" s="2"/>
      <c r="G70" s="2"/>
      <c r="H70" s="2"/>
      <c r="I70" s="2"/>
      <c r="J70" s="2"/>
      <c r="K70" s="474"/>
      <c r="L70" s="2"/>
      <c r="M70" s="2"/>
      <c r="N70" s="2"/>
      <c r="O70" s="2"/>
      <c r="P70" s="2"/>
      <c r="Q70" s="2"/>
      <c r="R70" s="2"/>
      <c r="S70" s="2"/>
      <c r="T70" s="2"/>
      <c r="U70" s="2"/>
      <c r="V70" s="2"/>
    </row>
    <row r="71" spans="1:22" x14ac:dyDescent="0.15">
      <c r="A71" s="473"/>
      <c r="B71" s="2"/>
      <c r="C71" s="2"/>
      <c r="D71" s="2"/>
      <c r="E71" s="2"/>
      <c r="F71" s="2"/>
      <c r="G71" s="2"/>
      <c r="H71" s="2"/>
      <c r="I71" s="2"/>
      <c r="J71" s="2"/>
      <c r="K71" s="474"/>
      <c r="L71" s="2"/>
      <c r="M71" s="2"/>
      <c r="N71" s="2"/>
      <c r="O71" s="2"/>
      <c r="P71" s="2"/>
      <c r="Q71" s="2"/>
      <c r="R71" s="2"/>
      <c r="S71" s="2"/>
      <c r="T71" s="2"/>
      <c r="U71" s="2"/>
      <c r="V71" s="2"/>
    </row>
    <row r="72" spans="1:22" x14ac:dyDescent="0.15">
      <c r="A72" s="473"/>
      <c r="B72" s="2"/>
      <c r="C72" s="2"/>
      <c r="D72" s="2"/>
      <c r="E72" s="2"/>
      <c r="F72" s="2"/>
      <c r="G72" s="2"/>
      <c r="H72" s="2"/>
      <c r="I72" s="2"/>
      <c r="J72" s="2"/>
      <c r="K72" s="474"/>
      <c r="L72" s="2"/>
      <c r="M72" s="2"/>
      <c r="N72" s="2"/>
      <c r="O72" s="2"/>
      <c r="P72" s="2"/>
      <c r="Q72" s="2"/>
      <c r="R72" s="2"/>
      <c r="S72" s="2"/>
      <c r="T72" s="2"/>
      <c r="U72" s="2"/>
      <c r="V72" s="2"/>
    </row>
    <row r="73" spans="1:22" x14ac:dyDescent="0.15">
      <c r="A73" s="473"/>
      <c r="B73" s="2"/>
      <c r="C73" s="2"/>
      <c r="D73" s="2"/>
      <c r="E73" s="2"/>
      <c r="F73" s="2"/>
      <c r="G73" s="2"/>
      <c r="H73" s="2"/>
      <c r="I73" s="2"/>
      <c r="J73" s="2"/>
      <c r="K73" s="474"/>
      <c r="L73" s="2"/>
      <c r="M73" s="2"/>
      <c r="N73" s="2"/>
      <c r="O73" s="2"/>
      <c r="P73" s="2"/>
      <c r="Q73" s="2"/>
      <c r="R73" s="2"/>
      <c r="S73" s="2"/>
      <c r="T73" s="2"/>
      <c r="U73" s="2"/>
      <c r="V73" s="2"/>
    </row>
    <row r="74" spans="1:22" x14ac:dyDescent="0.15">
      <c r="A74" s="473"/>
      <c r="B74" s="2"/>
      <c r="C74" s="2"/>
      <c r="D74" s="2"/>
      <c r="E74" s="2"/>
      <c r="F74" s="2"/>
      <c r="G74" s="2"/>
      <c r="H74" s="2"/>
      <c r="I74" s="2"/>
      <c r="J74" s="2"/>
      <c r="K74" s="474"/>
      <c r="L74" s="2"/>
      <c r="M74" s="2"/>
      <c r="N74" s="2"/>
      <c r="O74" s="2"/>
      <c r="P74" s="2"/>
      <c r="Q74" s="2"/>
      <c r="R74" s="2"/>
      <c r="S74" s="2"/>
      <c r="T74" s="2"/>
      <c r="U74" s="2"/>
      <c r="V74" s="2"/>
    </row>
    <row r="75" spans="1:22" x14ac:dyDescent="0.15">
      <c r="A75" s="473"/>
      <c r="B75" s="2"/>
      <c r="C75" s="2"/>
      <c r="D75" s="2"/>
      <c r="E75" s="2"/>
      <c r="F75" s="2"/>
      <c r="G75" s="2"/>
      <c r="H75" s="2"/>
      <c r="I75" s="2"/>
      <c r="J75" s="2"/>
      <c r="K75" s="474"/>
      <c r="L75" s="2"/>
      <c r="M75" s="2"/>
      <c r="N75" s="2"/>
      <c r="O75" s="2"/>
      <c r="P75" s="2"/>
      <c r="Q75" s="2"/>
      <c r="R75" s="2"/>
      <c r="S75" s="2"/>
      <c r="T75" s="2"/>
      <c r="U75" s="2"/>
      <c r="V75" s="2"/>
    </row>
    <row r="76" spans="1:22" x14ac:dyDescent="0.15">
      <c r="A76" s="473"/>
      <c r="B76" s="2"/>
      <c r="C76" s="2"/>
      <c r="D76" s="2"/>
      <c r="E76" s="2"/>
      <c r="F76" s="2"/>
      <c r="G76" s="2"/>
      <c r="H76" s="2"/>
      <c r="I76" s="2"/>
      <c r="J76" s="2"/>
      <c r="K76" s="474"/>
      <c r="L76" s="2"/>
      <c r="M76" s="2"/>
      <c r="N76" s="2"/>
      <c r="O76" s="2"/>
      <c r="P76" s="2"/>
      <c r="Q76" s="2"/>
      <c r="R76" s="2"/>
      <c r="S76" s="2"/>
      <c r="T76" s="2"/>
      <c r="U76" s="2"/>
      <c r="V76" s="2"/>
    </row>
    <row r="77" spans="1:22" x14ac:dyDescent="0.15">
      <c r="A77" s="473"/>
      <c r="B77" s="2"/>
      <c r="C77" s="2"/>
      <c r="D77" s="2"/>
      <c r="E77" s="2"/>
      <c r="F77" s="2"/>
      <c r="G77" s="2"/>
      <c r="H77" s="2"/>
      <c r="I77" s="2"/>
      <c r="J77" s="2"/>
      <c r="K77" s="474"/>
      <c r="L77" s="2"/>
      <c r="M77" s="2"/>
      <c r="N77" s="2"/>
      <c r="O77" s="2"/>
      <c r="P77" s="2"/>
      <c r="Q77" s="2"/>
      <c r="R77" s="2"/>
      <c r="S77" s="2"/>
      <c r="T77" s="2"/>
      <c r="U77" s="2"/>
      <c r="V77" s="2"/>
    </row>
    <row r="78" spans="1:22" x14ac:dyDescent="0.15">
      <c r="A78" s="473"/>
      <c r="B78" s="2"/>
      <c r="C78" s="2"/>
      <c r="D78" s="2"/>
      <c r="E78" s="2"/>
      <c r="F78" s="2"/>
      <c r="G78" s="2"/>
      <c r="H78" s="2"/>
      <c r="I78" s="2"/>
      <c r="J78" s="2"/>
      <c r="K78" s="474"/>
      <c r="L78" s="2"/>
      <c r="M78" s="2"/>
      <c r="N78" s="2"/>
      <c r="O78" s="2"/>
      <c r="P78" s="2"/>
      <c r="Q78" s="2"/>
      <c r="R78" s="2"/>
      <c r="S78" s="2"/>
      <c r="T78" s="2"/>
      <c r="U78" s="2"/>
      <c r="V78" s="2"/>
    </row>
    <row r="79" spans="1:22" x14ac:dyDescent="0.15">
      <c r="A79" s="473"/>
      <c r="B79" s="2"/>
      <c r="C79" s="2"/>
      <c r="D79" s="2"/>
      <c r="E79" s="2"/>
      <c r="F79" s="2"/>
      <c r="G79" s="2"/>
      <c r="H79" s="2"/>
      <c r="I79" s="2"/>
      <c r="J79" s="2"/>
      <c r="K79" s="474"/>
      <c r="L79" s="2"/>
      <c r="M79" s="2"/>
      <c r="N79" s="2"/>
      <c r="O79" s="2"/>
      <c r="P79" s="2"/>
      <c r="Q79" s="2"/>
      <c r="R79" s="2"/>
      <c r="S79" s="2"/>
      <c r="T79" s="2"/>
      <c r="U79" s="2"/>
      <c r="V79" s="2"/>
    </row>
    <row r="80" spans="1:22" x14ac:dyDescent="0.15">
      <c r="A80" s="473"/>
      <c r="B80" s="2"/>
      <c r="C80" s="2"/>
      <c r="D80" s="2"/>
      <c r="E80" s="2"/>
      <c r="F80" s="2"/>
      <c r="G80" s="2"/>
      <c r="H80" s="2"/>
      <c r="I80" s="2"/>
      <c r="J80" s="2"/>
      <c r="K80" s="474"/>
      <c r="L80" s="2"/>
      <c r="M80" s="2"/>
      <c r="N80" s="2"/>
      <c r="O80" s="2"/>
      <c r="P80" s="2"/>
      <c r="Q80" s="2"/>
      <c r="R80" s="2"/>
      <c r="S80" s="2"/>
      <c r="T80" s="2"/>
      <c r="U80" s="2"/>
      <c r="V80" s="2"/>
    </row>
    <row r="81" spans="1:22" x14ac:dyDescent="0.15">
      <c r="A81" s="473"/>
      <c r="B81" s="2"/>
      <c r="C81" s="2"/>
      <c r="D81" s="2"/>
      <c r="E81" s="2"/>
      <c r="F81" s="2"/>
      <c r="G81" s="2"/>
      <c r="H81" s="2"/>
      <c r="I81" s="2"/>
      <c r="J81" s="2"/>
      <c r="K81" s="474"/>
      <c r="L81" s="2"/>
      <c r="M81" s="2"/>
      <c r="N81" s="2"/>
      <c r="O81" s="2"/>
      <c r="P81" s="2"/>
      <c r="Q81" s="2"/>
      <c r="R81" s="2"/>
      <c r="S81" s="2"/>
      <c r="T81" s="2"/>
      <c r="U81" s="2"/>
      <c r="V81" s="2"/>
    </row>
    <row r="82" spans="1:22" x14ac:dyDescent="0.15">
      <c r="A82" s="473"/>
      <c r="B82" s="2"/>
      <c r="C82" s="2"/>
      <c r="D82" s="2"/>
      <c r="E82" s="2"/>
      <c r="F82" s="2"/>
      <c r="G82" s="2"/>
      <c r="H82" s="2"/>
      <c r="I82" s="2"/>
      <c r="J82" s="2"/>
      <c r="K82" s="474"/>
      <c r="L82" s="2"/>
      <c r="M82" s="2"/>
      <c r="N82" s="2"/>
      <c r="O82" s="2"/>
      <c r="P82" s="2"/>
      <c r="Q82" s="2"/>
      <c r="R82" s="2"/>
      <c r="S82" s="2"/>
      <c r="T82" s="2"/>
      <c r="U82" s="2"/>
      <c r="V82" s="2"/>
    </row>
    <row r="83" spans="1:22" x14ac:dyDescent="0.15">
      <c r="A83" s="473"/>
      <c r="B83" s="2"/>
      <c r="C83" s="2"/>
      <c r="D83" s="2"/>
      <c r="E83" s="2"/>
      <c r="F83" s="2"/>
      <c r="G83" s="2"/>
      <c r="H83" s="2"/>
      <c r="I83" s="2"/>
      <c r="J83" s="2"/>
      <c r="K83" s="474"/>
    </row>
    <row r="84" spans="1:22" x14ac:dyDescent="0.15">
      <c r="A84" s="473"/>
      <c r="B84" s="2"/>
      <c r="C84" s="2"/>
      <c r="D84" s="2"/>
      <c r="E84" s="2"/>
      <c r="F84" s="2"/>
      <c r="G84" s="2"/>
      <c r="H84" s="2"/>
      <c r="I84" s="2"/>
      <c r="J84" s="2"/>
      <c r="K84" s="474"/>
    </row>
    <row r="85" spans="1:22" ht="13.5" thickBot="1" x14ac:dyDescent="0.2">
      <c r="A85" s="475"/>
      <c r="B85" s="476"/>
      <c r="C85" s="476"/>
      <c r="D85" s="476"/>
      <c r="E85" s="476"/>
      <c r="F85" s="476"/>
      <c r="G85" s="476"/>
      <c r="H85" s="476"/>
      <c r="I85" s="476"/>
      <c r="J85" s="476"/>
      <c r="K85" s="477"/>
    </row>
    <row r="86" spans="1:22" ht="13.5" thickTop="1" x14ac:dyDescent="0.15"/>
  </sheetData>
  <mergeCells count="60">
    <mergeCell ref="B55:G55"/>
    <mergeCell ref="B56:G56"/>
    <mergeCell ref="D61:F61"/>
    <mergeCell ref="D59:F59"/>
    <mergeCell ref="B47:G47"/>
    <mergeCell ref="B48:G48"/>
    <mergeCell ref="B49:G49"/>
    <mergeCell ref="B50:G50"/>
    <mergeCell ref="B51:G51"/>
    <mergeCell ref="B52:G52"/>
    <mergeCell ref="B53:G53"/>
    <mergeCell ref="B54:G54"/>
    <mergeCell ref="A33:K33"/>
    <mergeCell ref="B46:G46"/>
    <mergeCell ref="D31:G31"/>
    <mergeCell ref="D28:G28"/>
    <mergeCell ref="D29:G29"/>
    <mergeCell ref="B30:J30"/>
    <mergeCell ref="C28:C29"/>
    <mergeCell ref="B28:B29"/>
    <mergeCell ref="A35:K35"/>
    <mergeCell ref="A40:K40"/>
    <mergeCell ref="A41:K41"/>
    <mergeCell ref="A36:K36"/>
    <mergeCell ref="A44:K44"/>
    <mergeCell ref="A43:K43"/>
    <mergeCell ref="B27:J27"/>
    <mergeCell ref="D25:G25"/>
    <mergeCell ref="D26:G26"/>
    <mergeCell ref="B19:J19"/>
    <mergeCell ref="D20:G20"/>
    <mergeCell ref="B20:B21"/>
    <mergeCell ref="C20:C21"/>
    <mergeCell ref="D21:G21"/>
    <mergeCell ref="E16:J16"/>
    <mergeCell ref="C23:C26"/>
    <mergeCell ref="B23:B26"/>
    <mergeCell ref="B22:J22"/>
    <mergeCell ref="E11:J11"/>
    <mergeCell ref="D23:G23"/>
    <mergeCell ref="D24:G24"/>
    <mergeCell ref="A14:K14"/>
    <mergeCell ref="B16:D16"/>
    <mergeCell ref="D18:G18"/>
    <mergeCell ref="A2:K2"/>
    <mergeCell ref="E6:J6"/>
    <mergeCell ref="E7:J7"/>
    <mergeCell ref="A13:K13"/>
    <mergeCell ref="B11:D11"/>
    <mergeCell ref="A3:K3"/>
    <mergeCell ref="E5:J5"/>
    <mergeCell ref="B5:D5"/>
    <mergeCell ref="B6:D6"/>
    <mergeCell ref="B7:D7"/>
    <mergeCell ref="B8:D8"/>
    <mergeCell ref="B9:D9"/>
    <mergeCell ref="E9:J9"/>
    <mergeCell ref="E10:J10"/>
    <mergeCell ref="B10:D10"/>
    <mergeCell ref="E8:J8"/>
  </mergeCells>
  <hyperlinks>
    <hyperlink ref="A36" r:id="rId1" xr:uid="{00000000-0004-0000-0D00-000000000000}"/>
    <hyperlink ref="A44:K44" r:id="rId2" display="http://www.cleancookstoves.org/our-work/standards-and-testing/learn-about-testing-protocols/" xr:uid="{00000000-0004-0000-0D00-000001000000}"/>
  </hyperlinks>
  <pageMargins left="0.25" right="0.25" top="0.75" bottom="0.75" header="0.3" footer="0.3"/>
  <pageSetup orientation="portrait" horizontalDpi="1200" verticalDpi="1200" r:id="rId3"/>
  <headerFooter>
    <oddFooter>&amp;L&amp;F&amp;C&amp;A&amp;RPage &amp;P</oddFooter>
  </headerFooter>
  <ignoredErrors>
    <ignoredError sqref="C20 C23 C28" evalError="1"/>
  </ignoredErrors>
  <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dimension ref="A1:U84"/>
  <sheetViews>
    <sheetView showGridLines="0" showZeros="0" zoomScaleNormal="100" zoomScaleSheetLayoutView="80" workbookViewId="0">
      <selection activeCell="D9" sqref="D9"/>
    </sheetView>
  </sheetViews>
  <sheetFormatPr defaultRowHeight="12.75" x14ac:dyDescent="0.15"/>
  <cols>
    <col min="1" max="1" width="2.15625" customWidth="1"/>
    <col min="2" max="2" width="1.75" customWidth="1"/>
    <col min="3" max="3" width="8.22265625" customWidth="1"/>
    <col min="4" max="4" width="7.953125" customWidth="1"/>
    <col min="5" max="6" width="8.76171875" customWidth="1"/>
    <col min="7" max="9" width="1.75" customWidth="1"/>
    <col min="10" max="10" width="8.22265625" customWidth="1"/>
    <col min="11" max="13" width="8.76171875" customWidth="1"/>
    <col min="14" max="14" width="1.75" customWidth="1"/>
    <col min="15" max="15" width="3.234375" customWidth="1"/>
    <col min="16" max="16" width="8.22265625" customWidth="1"/>
    <col min="17" max="19" width="8.76171875" customWidth="1"/>
    <col min="20" max="20" width="1.75" customWidth="1"/>
    <col min="21" max="22" width="2.55859375" customWidth="1"/>
  </cols>
  <sheetData>
    <row r="1" spans="1:21" ht="6" customHeight="1" thickTop="1" x14ac:dyDescent="0.15">
      <c r="A1" s="146"/>
      <c r="B1" s="146"/>
      <c r="C1" s="146"/>
      <c r="D1" s="146"/>
      <c r="E1" s="146"/>
      <c r="F1" s="146"/>
      <c r="G1" s="146"/>
      <c r="H1" s="146"/>
      <c r="I1" s="146"/>
      <c r="J1" s="146"/>
      <c r="K1" s="146"/>
      <c r="L1" s="146"/>
      <c r="M1" s="146"/>
      <c r="N1" s="146"/>
      <c r="O1" s="146"/>
      <c r="P1" s="146"/>
      <c r="Q1" s="146"/>
      <c r="R1" s="146"/>
      <c r="S1" s="146"/>
      <c r="T1" s="146"/>
      <c r="U1" s="147"/>
    </row>
    <row r="2" spans="1:21" ht="57" customHeight="1" x14ac:dyDescent="0.15">
      <c r="A2" s="148"/>
      <c r="B2" s="757" t="s">
        <v>750</v>
      </c>
      <c r="C2" s="757"/>
      <c r="D2" s="757"/>
      <c r="E2" s="757"/>
      <c r="F2" s="757"/>
      <c r="G2" s="757"/>
      <c r="H2" s="757"/>
      <c r="I2" s="757"/>
      <c r="J2" s="757"/>
      <c r="K2" s="757"/>
      <c r="L2" s="757"/>
      <c r="M2" s="757"/>
      <c r="N2" s="757"/>
      <c r="O2" s="757"/>
      <c r="P2" s="757"/>
      <c r="Q2" s="757"/>
      <c r="R2" s="757"/>
      <c r="S2" s="757"/>
      <c r="T2" s="757"/>
      <c r="U2" s="150"/>
    </row>
    <row r="3" spans="1:21" ht="26.25" customHeight="1" x14ac:dyDescent="0.15">
      <c r="A3" s="148"/>
      <c r="B3" s="757" t="s">
        <v>771</v>
      </c>
      <c r="C3" s="757"/>
      <c r="D3" s="757"/>
      <c r="E3" s="757"/>
      <c r="F3" s="757"/>
      <c r="G3" s="757"/>
      <c r="H3" s="757"/>
      <c r="I3" s="757"/>
      <c r="J3" s="757"/>
      <c r="K3" s="757"/>
      <c r="L3" s="757"/>
      <c r="M3" s="757"/>
      <c r="N3" s="757"/>
      <c r="O3" s="757"/>
      <c r="P3" s="757"/>
      <c r="Q3" s="757"/>
      <c r="R3" s="757"/>
      <c r="S3" s="757"/>
      <c r="T3" s="757"/>
      <c r="U3" s="150"/>
    </row>
    <row r="4" spans="1:21" ht="6" customHeight="1" x14ac:dyDescent="0.15">
      <c r="A4" s="148"/>
      <c r="B4" s="71"/>
      <c r="C4" s="149"/>
      <c r="D4" s="149"/>
      <c r="E4" s="149"/>
      <c r="F4" s="149"/>
      <c r="G4" s="149"/>
      <c r="H4" s="149"/>
      <c r="I4" s="71"/>
      <c r="J4" s="149"/>
      <c r="K4" s="149"/>
      <c r="L4" s="149"/>
      <c r="M4" s="149"/>
      <c r="N4" s="149"/>
      <c r="O4" s="71"/>
      <c r="P4" s="149"/>
      <c r="Q4" s="149"/>
      <c r="R4" s="149"/>
      <c r="S4" s="149"/>
      <c r="T4" s="149"/>
      <c r="U4" s="151"/>
    </row>
    <row r="5" spans="1:21" ht="6" customHeight="1" x14ac:dyDescent="0.15">
      <c r="A5" s="148"/>
      <c r="B5" s="523"/>
      <c r="C5" s="524"/>
      <c r="D5" s="524"/>
      <c r="E5" s="524"/>
      <c r="F5" s="524"/>
      <c r="G5" s="525"/>
      <c r="H5" s="71"/>
      <c r="I5" s="523"/>
      <c r="J5" s="524"/>
      <c r="K5" s="524"/>
      <c r="L5" s="524"/>
      <c r="M5" s="524"/>
      <c r="N5" s="525"/>
      <c r="U5" s="152"/>
    </row>
    <row r="6" spans="1:21" x14ac:dyDescent="0.15">
      <c r="A6" s="148"/>
      <c r="B6" s="153"/>
      <c r="C6" s="154" t="s">
        <v>202</v>
      </c>
      <c r="D6" s="758" t="s">
        <v>203</v>
      </c>
      <c r="E6" s="758"/>
      <c r="F6" s="758"/>
      <c r="G6" s="70"/>
      <c r="H6" s="71"/>
      <c r="I6" s="153"/>
      <c r="J6" s="154" t="s">
        <v>204</v>
      </c>
      <c r="K6" s="758" t="s">
        <v>203</v>
      </c>
      <c r="L6" s="758"/>
      <c r="M6" s="758"/>
      <c r="N6" s="70"/>
      <c r="P6" t="s">
        <v>755</v>
      </c>
      <c r="U6" s="152"/>
    </row>
    <row r="7" spans="1:21" x14ac:dyDescent="0.15">
      <c r="A7" s="148"/>
      <c r="B7" s="153"/>
      <c r="C7" s="154"/>
      <c r="D7" s="758" t="s">
        <v>205</v>
      </c>
      <c r="E7" s="758"/>
      <c r="F7" s="758"/>
      <c r="G7" s="70"/>
      <c r="H7" s="71"/>
      <c r="I7" s="153"/>
      <c r="J7" s="154"/>
      <c r="K7" s="758" t="s">
        <v>205</v>
      </c>
      <c r="L7" s="758"/>
      <c r="M7" s="758"/>
      <c r="N7" s="70"/>
      <c r="P7" s="759"/>
      <c r="Q7" s="759"/>
      <c r="R7" s="759"/>
      <c r="S7" s="759"/>
      <c r="U7" s="152"/>
    </row>
    <row r="8" spans="1:21" ht="15" customHeight="1" x14ac:dyDescent="0.15">
      <c r="A8" s="148"/>
      <c r="B8" s="153"/>
      <c r="C8" s="71"/>
      <c r="D8" s="155">
        <v>1</v>
      </c>
      <c r="E8" s="155">
        <v>2</v>
      </c>
      <c r="F8" s="155">
        <v>3</v>
      </c>
      <c r="G8" s="70"/>
      <c r="H8" s="71"/>
      <c r="I8" s="153"/>
      <c r="J8" s="71"/>
      <c r="K8" s="155">
        <v>1</v>
      </c>
      <c r="L8" s="155">
        <v>2</v>
      </c>
      <c r="M8" s="155">
        <v>3</v>
      </c>
      <c r="N8" s="70"/>
      <c r="U8" s="152"/>
    </row>
    <row r="9" spans="1:21" ht="20.25" customHeight="1" x14ac:dyDescent="0.15">
      <c r="A9" s="148"/>
      <c r="B9" s="153"/>
      <c r="C9" s="71" t="s">
        <v>206</v>
      </c>
      <c r="D9" s="156"/>
      <c r="E9" s="156"/>
      <c r="F9" s="157"/>
      <c r="G9" s="70"/>
      <c r="H9" s="71"/>
      <c r="I9" s="153"/>
      <c r="J9" s="71" t="s">
        <v>206</v>
      </c>
      <c r="K9" s="156"/>
      <c r="L9" s="156"/>
      <c r="M9" s="157"/>
      <c r="N9" s="70"/>
      <c r="U9" s="152"/>
    </row>
    <row r="10" spans="1:21" ht="20.25" customHeight="1" x14ac:dyDescent="0.15">
      <c r="A10" s="148"/>
      <c r="B10" s="153"/>
      <c r="C10" s="71" t="s">
        <v>207</v>
      </c>
      <c r="D10" s="158"/>
      <c r="E10" s="158"/>
      <c r="F10" s="159"/>
      <c r="G10" s="70"/>
      <c r="H10" s="71"/>
      <c r="I10" s="153"/>
      <c r="J10" s="71" t="s">
        <v>207</v>
      </c>
      <c r="K10" s="158"/>
      <c r="L10" s="158"/>
      <c r="M10" s="159"/>
      <c r="N10" s="70"/>
      <c r="U10" s="152"/>
    </row>
    <row r="11" spans="1:21" ht="20.25" customHeight="1" x14ac:dyDescent="0.15">
      <c r="A11" s="148"/>
      <c r="B11" s="153"/>
      <c r="C11" s="71" t="s">
        <v>208</v>
      </c>
      <c r="D11" s="158"/>
      <c r="E11" s="158"/>
      <c r="F11" s="159"/>
      <c r="G11" s="70"/>
      <c r="H11" s="71"/>
      <c r="I11" s="153"/>
      <c r="J11" s="71" t="s">
        <v>208</v>
      </c>
      <c r="K11" s="158"/>
      <c r="L11" s="158"/>
      <c r="M11" s="159"/>
      <c r="N11" s="70"/>
      <c r="U11" s="152"/>
    </row>
    <row r="12" spans="1:21" ht="6" customHeight="1" x14ac:dyDescent="0.15">
      <c r="A12" s="148"/>
      <c r="B12" s="153"/>
      <c r="C12" s="71"/>
      <c r="D12" s="71"/>
      <c r="E12" s="71"/>
      <c r="F12" s="71"/>
      <c r="G12" s="70"/>
      <c r="H12" s="71"/>
      <c r="I12" s="153"/>
      <c r="J12" s="71"/>
      <c r="K12" s="71"/>
      <c r="L12" s="71"/>
      <c r="M12" s="71"/>
      <c r="N12" s="70"/>
      <c r="U12" s="152"/>
    </row>
    <row r="13" spans="1:21" ht="18" customHeight="1" x14ac:dyDescent="0.15">
      <c r="A13" s="148"/>
      <c r="B13" s="153"/>
      <c r="C13" s="71" t="s">
        <v>209</v>
      </c>
      <c r="D13" s="71"/>
      <c r="E13" s="71"/>
      <c r="F13" s="71"/>
      <c r="G13" s="70"/>
      <c r="H13" s="71"/>
      <c r="I13" s="153"/>
      <c r="J13" s="71" t="s">
        <v>209</v>
      </c>
      <c r="K13" s="71"/>
      <c r="L13" s="71"/>
      <c r="M13" s="71"/>
      <c r="N13" s="70"/>
      <c r="U13" s="152"/>
    </row>
    <row r="14" spans="1:21" ht="18" customHeight="1" x14ac:dyDescent="0.15">
      <c r="A14" s="148"/>
      <c r="B14" s="153"/>
      <c r="C14" s="160" t="s">
        <v>210</v>
      </c>
      <c r="D14" s="214">
        <f>IF(D9=0,0,AVERAGE(D9:F11))</f>
        <v>0</v>
      </c>
      <c r="E14" s="161" t="s">
        <v>211</v>
      </c>
      <c r="F14" s="214">
        <f>IF(D14=0,0,D14/(1+D14))</f>
        <v>0</v>
      </c>
      <c r="G14" s="70"/>
      <c r="H14" s="71"/>
      <c r="I14" s="153"/>
      <c r="J14" s="160" t="s">
        <v>210</v>
      </c>
      <c r="K14" s="214">
        <f>IF(K9=0,0,AVERAGE(K9:M11))</f>
        <v>0</v>
      </c>
      <c r="L14" s="161" t="s">
        <v>211</v>
      </c>
      <c r="M14" s="214">
        <f>IF(K14=0,0,K14/(1+K14))</f>
        <v>0</v>
      </c>
      <c r="N14" s="70"/>
      <c r="U14" s="152"/>
    </row>
    <row r="15" spans="1:21" ht="6.75" customHeight="1" x14ac:dyDescent="0.15">
      <c r="A15" s="148"/>
      <c r="B15" s="162"/>
      <c r="C15" s="163"/>
      <c r="D15" s="163"/>
      <c r="E15" s="163"/>
      <c r="F15" s="164"/>
      <c r="G15" s="165"/>
      <c r="H15" s="71"/>
      <c r="I15" s="162"/>
      <c r="J15" s="163"/>
      <c r="K15" s="163"/>
      <c r="L15" s="163"/>
      <c r="M15" s="164"/>
      <c r="N15" s="165"/>
      <c r="U15" s="152"/>
    </row>
    <row r="16" spans="1:21" ht="6.75" customHeight="1" x14ac:dyDescent="0.15">
      <c r="A16" s="148"/>
      <c r="B16" s="71"/>
      <c r="C16" s="71"/>
      <c r="D16" s="71"/>
      <c r="E16" s="71"/>
      <c r="F16" s="166"/>
      <c r="G16" s="71"/>
      <c r="H16" s="71"/>
      <c r="O16" s="71"/>
      <c r="P16" s="71"/>
      <c r="Q16" s="71"/>
      <c r="R16" s="71"/>
      <c r="S16" s="166"/>
      <c r="T16" s="71"/>
      <c r="U16" s="152"/>
    </row>
    <row r="17" spans="1:21" ht="6" customHeight="1" x14ac:dyDescent="0.15">
      <c r="A17" s="148"/>
      <c r="B17" s="71"/>
      <c r="C17" s="71"/>
      <c r="D17" s="71"/>
      <c r="E17" s="71"/>
      <c r="F17" s="166"/>
      <c r="G17" s="71"/>
      <c r="H17" s="71"/>
      <c r="I17" s="71"/>
      <c r="J17" s="71"/>
      <c r="K17" s="71"/>
      <c r="L17" s="71"/>
      <c r="M17" s="71"/>
      <c r="N17" s="71"/>
      <c r="O17" s="71"/>
      <c r="P17" s="71"/>
      <c r="Q17" s="71"/>
      <c r="R17" s="71"/>
      <c r="S17" s="71"/>
      <c r="T17" s="71"/>
      <c r="U17" s="152"/>
    </row>
    <row r="18" spans="1:21" ht="6" customHeight="1" x14ac:dyDescent="0.15">
      <c r="A18" s="148"/>
      <c r="B18" s="523"/>
      <c r="C18" s="524"/>
      <c r="D18" s="524"/>
      <c r="E18" s="524"/>
      <c r="F18" s="524"/>
      <c r="G18" s="525"/>
      <c r="H18" s="71"/>
      <c r="I18" s="523"/>
      <c r="J18" s="524"/>
      <c r="K18" s="524"/>
      <c r="L18" s="524"/>
      <c r="M18" s="524"/>
      <c r="N18" s="525"/>
      <c r="U18" s="152"/>
    </row>
    <row r="19" spans="1:21" x14ac:dyDescent="0.15">
      <c r="A19" s="148"/>
      <c r="B19" s="153"/>
      <c r="C19" s="154" t="s">
        <v>212</v>
      </c>
      <c r="D19" s="758" t="s">
        <v>203</v>
      </c>
      <c r="E19" s="758"/>
      <c r="F19" s="758"/>
      <c r="G19" s="70"/>
      <c r="H19" s="71"/>
      <c r="I19" s="153"/>
      <c r="J19" s="154" t="s">
        <v>1032</v>
      </c>
      <c r="K19" s="758" t="s">
        <v>203</v>
      </c>
      <c r="L19" s="758"/>
      <c r="M19" s="758"/>
      <c r="N19" s="70"/>
      <c r="U19" s="152"/>
    </row>
    <row r="20" spans="1:21" x14ac:dyDescent="0.15">
      <c r="A20" s="148"/>
      <c r="B20" s="153"/>
      <c r="C20" s="154"/>
      <c r="D20" s="758" t="s">
        <v>205</v>
      </c>
      <c r="E20" s="758"/>
      <c r="F20" s="758"/>
      <c r="G20" s="70"/>
      <c r="H20" s="71"/>
      <c r="I20" s="153"/>
      <c r="J20" s="154"/>
      <c r="K20" s="758" t="s">
        <v>205</v>
      </c>
      <c r="L20" s="758"/>
      <c r="M20" s="758"/>
      <c r="N20" s="70"/>
      <c r="U20" s="152"/>
    </row>
    <row r="21" spans="1:21" ht="15" customHeight="1" x14ac:dyDescent="0.15">
      <c r="A21" s="148"/>
      <c r="B21" s="153"/>
      <c r="C21" s="71"/>
      <c r="D21" s="155">
        <v>1</v>
      </c>
      <c r="E21" s="155">
        <v>2</v>
      </c>
      <c r="F21" s="155">
        <v>3</v>
      </c>
      <c r="G21" s="70"/>
      <c r="H21" s="71"/>
      <c r="I21" s="153"/>
      <c r="J21" s="71"/>
      <c r="K21" s="155">
        <v>1</v>
      </c>
      <c r="L21" s="155">
        <v>2</v>
      </c>
      <c r="M21" s="155">
        <v>3</v>
      </c>
      <c r="N21" s="70"/>
      <c r="U21" s="152"/>
    </row>
    <row r="22" spans="1:21" ht="20.25" customHeight="1" x14ac:dyDescent="0.15">
      <c r="A22" s="148"/>
      <c r="B22" s="153"/>
      <c r="C22" s="71" t="s">
        <v>206</v>
      </c>
      <c r="D22" s="156"/>
      <c r="E22" s="156"/>
      <c r="F22" s="157"/>
      <c r="G22" s="70"/>
      <c r="H22" s="71"/>
      <c r="I22" s="153"/>
      <c r="J22" s="71" t="s">
        <v>206</v>
      </c>
      <c r="K22" s="156"/>
      <c r="L22" s="156"/>
      <c r="M22" s="157"/>
      <c r="N22" s="70"/>
      <c r="U22" s="152"/>
    </row>
    <row r="23" spans="1:21" ht="20.25" customHeight="1" x14ac:dyDescent="0.15">
      <c r="A23" s="148"/>
      <c r="B23" s="153"/>
      <c r="C23" s="71" t="s">
        <v>207</v>
      </c>
      <c r="D23" s="158"/>
      <c r="E23" s="158"/>
      <c r="F23" s="159"/>
      <c r="G23" s="70"/>
      <c r="H23" s="71"/>
      <c r="I23" s="153"/>
      <c r="J23" s="71" t="s">
        <v>207</v>
      </c>
      <c r="K23" s="158"/>
      <c r="L23" s="158"/>
      <c r="M23" s="159"/>
      <c r="N23" s="70"/>
      <c r="U23" s="152"/>
    </row>
    <row r="24" spans="1:21" ht="20.25" customHeight="1" x14ac:dyDescent="0.15">
      <c r="A24" s="148"/>
      <c r="B24" s="153"/>
      <c r="C24" s="71" t="s">
        <v>208</v>
      </c>
      <c r="D24" s="158"/>
      <c r="E24" s="158"/>
      <c r="F24" s="159"/>
      <c r="G24" s="70"/>
      <c r="H24" s="71"/>
      <c r="I24" s="153"/>
      <c r="J24" s="71" t="s">
        <v>208</v>
      </c>
      <c r="K24" s="158"/>
      <c r="L24" s="158"/>
      <c r="M24" s="159"/>
      <c r="N24" s="70"/>
      <c r="U24" s="152"/>
    </row>
    <row r="25" spans="1:21" ht="6" customHeight="1" x14ac:dyDescent="0.15">
      <c r="A25" s="148"/>
      <c r="B25" s="153"/>
      <c r="C25" s="71"/>
      <c r="D25" s="71"/>
      <c r="E25" s="71"/>
      <c r="F25" s="71"/>
      <c r="G25" s="70"/>
      <c r="H25" s="71"/>
      <c r="I25" s="153"/>
      <c r="J25" s="71"/>
      <c r="K25" s="71"/>
      <c r="L25" s="71"/>
      <c r="M25" s="71"/>
      <c r="N25" s="70"/>
      <c r="U25" s="152"/>
    </row>
    <row r="26" spans="1:21" ht="18" customHeight="1" x14ac:dyDescent="0.15">
      <c r="A26" s="148"/>
      <c r="B26" s="153"/>
      <c r="C26" s="71" t="s">
        <v>209</v>
      </c>
      <c r="D26" s="71"/>
      <c r="E26" s="71"/>
      <c r="F26" s="71"/>
      <c r="G26" s="70"/>
      <c r="H26" s="71"/>
      <c r="I26" s="153"/>
      <c r="J26" s="71" t="s">
        <v>209</v>
      </c>
      <c r="K26" s="71"/>
      <c r="L26" s="71"/>
      <c r="M26" s="71"/>
      <c r="N26" s="70"/>
      <c r="U26" s="152"/>
    </row>
    <row r="27" spans="1:21" ht="18" customHeight="1" x14ac:dyDescent="0.15">
      <c r="A27" s="148"/>
      <c r="B27" s="153"/>
      <c r="C27" s="160" t="s">
        <v>210</v>
      </c>
      <c r="D27" s="214">
        <f>IF(D22=0,0,AVERAGE(D22:F24))</f>
        <v>0</v>
      </c>
      <c r="E27" s="161" t="s">
        <v>211</v>
      </c>
      <c r="F27" s="214">
        <f>IF(D27=0,0,D27/(1+D27))</f>
        <v>0</v>
      </c>
      <c r="G27" s="70"/>
      <c r="H27" s="71"/>
      <c r="I27" s="153"/>
      <c r="J27" s="160" t="s">
        <v>210</v>
      </c>
      <c r="K27" s="214">
        <f>IF(K22=0,0,AVERAGE(K22:M24))</f>
        <v>0</v>
      </c>
      <c r="L27" s="161" t="s">
        <v>211</v>
      </c>
      <c r="M27" s="214">
        <f>IF(K27=0,0,K27/(1+K27))</f>
        <v>0</v>
      </c>
      <c r="N27" s="70"/>
      <c r="U27" s="152"/>
    </row>
    <row r="28" spans="1:21" ht="6.75" customHeight="1" x14ac:dyDescent="0.15">
      <c r="A28" s="148"/>
      <c r="B28" s="162"/>
      <c r="C28" s="163"/>
      <c r="D28" s="163"/>
      <c r="E28" s="163"/>
      <c r="F28" s="164"/>
      <c r="G28" s="165"/>
      <c r="H28" s="71"/>
      <c r="I28" s="162"/>
      <c r="J28" s="163"/>
      <c r="K28" s="163"/>
      <c r="L28" s="163"/>
      <c r="M28" s="164"/>
      <c r="N28" s="165"/>
      <c r="U28" s="152"/>
    </row>
    <row r="29" spans="1:21" ht="6" customHeight="1" x14ac:dyDescent="0.15">
      <c r="A29" s="148"/>
      <c r="B29" s="71"/>
      <c r="C29" s="71"/>
      <c r="D29" s="71"/>
      <c r="E29" s="71"/>
      <c r="F29" s="71"/>
      <c r="G29" s="71"/>
      <c r="H29" s="71"/>
      <c r="I29" s="71"/>
      <c r="J29" s="71"/>
      <c r="K29" s="71"/>
      <c r="L29" s="71"/>
      <c r="M29" s="71"/>
      <c r="N29" s="71"/>
      <c r="O29" s="71"/>
      <c r="P29" s="71"/>
      <c r="Q29" s="71"/>
      <c r="R29" s="71"/>
      <c r="S29" s="71"/>
      <c r="T29" s="71"/>
      <c r="U29" s="152"/>
    </row>
    <row r="30" spans="1:21" ht="6" customHeight="1" x14ac:dyDescent="0.15">
      <c r="A30" s="148"/>
      <c r="B30" s="71"/>
      <c r="C30" s="149"/>
      <c r="D30" s="149"/>
      <c r="E30" s="149"/>
      <c r="F30" s="149"/>
      <c r="G30" s="149"/>
      <c r="H30" s="149"/>
      <c r="I30" s="71"/>
      <c r="J30" s="149"/>
      <c r="K30" s="149"/>
      <c r="L30" s="149"/>
      <c r="M30" s="149"/>
      <c r="N30" s="149"/>
      <c r="O30" s="71"/>
      <c r="P30" s="149"/>
      <c r="Q30" s="149"/>
      <c r="R30" s="149"/>
      <c r="S30" s="149"/>
      <c r="T30" s="149"/>
      <c r="U30" s="151"/>
    </row>
    <row r="31" spans="1:21" ht="6" customHeight="1" x14ac:dyDescent="0.15">
      <c r="A31" s="148"/>
      <c r="B31" s="523"/>
      <c r="C31" s="524"/>
      <c r="D31" s="524"/>
      <c r="E31" s="524"/>
      <c r="F31" s="524"/>
      <c r="G31" s="525"/>
      <c r="H31" s="71"/>
      <c r="I31" s="523"/>
      <c r="J31" s="524"/>
      <c r="K31" s="524"/>
      <c r="L31" s="524"/>
      <c r="M31" s="524"/>
      <c r="N31" s="525"/>
      <c r="U31" s="152"/>
    </row>
    <row r="32" spans="1:21" x14ac:dyDescent="0.15">
      <c r="A32" s="148"/>
      <c r="B32" s="153"/>
      <c r="C32" s="154" t="s">
        <v>1033</v>
      </c>
      <c r="D32" s="758" t="s">
        <v>203</v>
      </c>
      <c r="E32" s="758"/>
      <c r="F32" s="758"/>
      <c r="G32" s="70"/>
      <c r="H32" s="71"/>
      <c r="I32" s="153"/>
      <c r="J32" s="154" t="s">
        <v>1034</v>
      </c>
      <c r="K32" s="758" t="s">
        <v>203</v>
      </c>
      <c r="L32" s="758"/>
      <c r="M32" s="758"/>
      <c r="N32" s="70"/>
      <c r="U32" s="152"/>
    </row>
    <row r="33" spans="1:21" x14ac:dyDescent="0.15">
      <c r="A33" s="148"/>
      <c r="B33" s="153"/>
      <c r="C33" s="154"/>
      <c r="D33" s="758" t="s">
        <v>205</v>
      </c>
      <c r="E33" s="758"/>
      <c r="F33" s="758"/>
      <c r="G33" s="70"/>
      <c r="H33" s="71"/>
      <c r="I33" s="153"/>
      <c r="J33" s="154"/>
      <c r="K33" s="758" t="s">
        <v>205</v>
      </c>
      <c r="L33" s="758"/>
      <c r="M33" s="758"/>
      <c r="N33" s="70"/>
      <c r="U33" s="152"/>
    </row>
    <row r="34" spans="1:21" ht="15" customHeight="1" x14ac:dyDescent="0.15">
      <c r="A34" s="148"/>
      <c r="B34" s="153"/>
      <c r="C34" s="71"/>
      <c r="D34" s="155">
        <v>1</v>
      </c>
      <c r="E34" s="155">
        <v>2</v>
      </c>
      <c r="F34" s="155">
        <v>3</v>
      </c>
      <c r="G34" s="70"/>
      <c r="H34" s="71"/>
      <c r="I34" s="153"/>
      <c r="J34" s="71"/>
      <c r="K34" s="155">
        <v>1</v>
      </c>
      <c r="L34" s="155">
        <v>2</v>
      </c>
      <c r="M34" s="155">
        <v>3</v>
      </c>
      <c r="N34" s="70"/>
      <c r="U34" s="152"/>
    </row>
    <row r="35" spans="1:21" ht="20.25" customHeight="1" x14ac:dyDescent="0.15">
      <c r="A35" s="148"/>
      <c r="B35" s="153"/>
      <c r="C35" s="71" t="s">
        <v>206</v>
      </c>
      <c r="D35" s="156"/>
      <c r="E35" s="156"/>
      <c r="F35" s="157"/>
      <c r="G35" s="70"/>
      <c r="H35" s="71"/>
      <c r="I35" s="153"/>
      <c r="J35" s="71" t="s">
        <v>206</v>
      </c>
      <c r="K35" s="156"/>
      <c r="L35" s="156"/>
      <c r="M35" s="157"/>
      <c r="N35" s="70"/>
      <c r="U35" s="152"/>
    </row>
    <row r="36" spans="1:21" ht="20.25" customHeight="1" x14ac:dyDescent="0.15">
      <c r="A36" s="148"/>
      <c r="B36" s="153"/>
      <c r="C36" s="71" t="s">
        <v>207</v>
      </c>
      <c r="D36" s="158"/>
      <c r="E36" s="158"/>
      <c r="F36" s="159"/>
      <c r="G36" s="70"/>
      <c r="H36" s="71"/>
      <c r="I36" s="153"/>
      <c r="J36" s="71" t="s">
        <v>207</v>
      </c>
      <c r="K36" s="158"/>
      <c r="L36" s="158"/>
      <c r="M36" s="159"/>
      <c r="N36" s="70"/>
      <c r="U36" s="152"/>
    </row>
    <row r="37" spans="1:21" ht="20.25" customHeight="1" x14ac:dyDescent="0.15">
      <c r="A37" s="148"/>
      <c r="B37" s="153"/>
      <c r="C37" s="71" t="s">
        <v>208</v>
      </c>
      <c r="D37" s="158"/>
      <c r="E37" s="158"/>
      <c r="F37" s="159"/>
      <c r="G37" s="70"/>
      <c r="H37" s="71"/>
      <c r="I37" s="153"/>
      <c r="J37" s="71" t="s">
        <v>208</v>
      </c>
      <c r="K37" s="158"/>
      <c r="L37" s="158"/>
      <c r="M37" s="159"/>
      <c r="N37" s="70"/>
      <c r="U37" s="152"/>
    </row>
    <row r="38" spans="1:21" ht="6" customHeight="1" x14ac:dyDescent="0.15">
      <c r="A38" s="148"/>
      <c r="B38" s="153"/>
      <c r="C38" s="71"/>
      <c r="D38" s="71"/>
      <c r="E38" s="71"/>
      <c r="F38" s="71"/>
      <c r="G38" s="70"/>
      <c r="H38" s="71"/>
      <c r="I38" s="153"/>
      <c r="J38" s="71"/>
      <c r="K38" s="71"/>
      <c r="L38" s="71"/>
      <c r="M38" s="71"/>
      <c r="N38" s="70"/>
      <c r="U38" s="152"/>
    </row>
    <row r="39" spans="1:21" ht="18" customHeight="1" x14ac:dyDescent="0.15">
      <c r="A39" s="148"/>
      <c r="B39" s="153"/>
      <c r="C39" s="71" t="s">
        <v>209</v>
      </c>
      <c r="D39" s="71"/>
      <c r="E39" s="71"/>
      <c r="F39" s="71"/>
      <c r="G39" s="70"/>
      <c r="H39" s="71"/>
      <c r="I39" s="153"/>
      <c r="J39" s="71" t="s">
        <v>209</v>
      </c>
      <c r="K39" s="71"/>
      <c r="L39" s="71"/>
      <c r="M39" s="71"/>
      <c r="N39" s="70"/>
      <c r="U39" s="152"/>
    </row>
    <row r="40" spans="1:21" ht="18" customHeight="1" x14ac:dyDescent="0.15">
      <c r="A40" s="148"/>
      <c r="B40" s="153"/>
      <c r="C40" s="160" t="s">
        <v>210</v>
      </c>
      <c r="D40" s="214">
        <f>IF(D35=0,0,AVERAGE(D35:F37))</f>
        <v>0</v>
      </c>
      <c r="E40" s="161" t="s">
        <v>211</v>
      </c>
      <c r="F40" s="214">
        <f>IF(D40=0,0,D40/(1+D40))</f>
        <v>0</v>
      </c>
      <c r="G40" s="70"/>
      <c r="H40" s="71"/>
      <c r="I40" s="153"/>
      <c r="J40" s="160" t="s">
        <v>210</v>
      </c>
      <c r="K40" s="214">
        <f>IF(K35=0,0,AVERAGE(K35:M37))</f>
        <v>0</v>
      </c>
      <c r="L40" s="161" t="s">
        <v>211</v>
      </c>
      <c r="M40" s="214">
        <f>IF(K40=0,0,K40/(1+K40))</f>
        <v>0</v>
      </c>
      <c r="N40" s="70"/>
      <c r="U40" s="152"/>
    </row>
    <row r="41" spans="1:21" ht="6.75" customHeight="1" x14ac:dyDescent="0.15">
      <c r="A41" s="148"/>
      <c r="B41" s="162"/>
      <c r="C41" s="163"/>
      <c r="D41" s="163"/>
      <c r="E41" s="163"/>
      <c r="F41" s="164"/>
      <c r="G41" s="165"/>
      <c r="H41" s="71"/>
      <c r="I41" s="162"/>
      <c r="J41" s="163"/>
      <c r="K41" s="163"/>
      <c r="L41" s="163"/>
      <c r="M41" s="164"/>
      <c r="N41" s="165"/>
      <c r="U41" s="152"/>
    </row>
    <row r="42" spans="1:21" ht="6.75" customHeight="1" x14ac:dyDescent="0.15">
      <c r="A42" s="148"/>
      <c r="B42" s="71"/>
      <c r="C42" s="71"/>
      <c r="D42" s="71"/>
      <c r="E42" s="71"/>
      <c r="F42" s="166"/>
      <c r="G42" s="71"/>
      <c r="H42" s="71"/>
      <c r="O42" s="71"/>
      <c r="P42" s="71"/>
      <c r="Q42" s="71"/>
      <c r="R42" s="71"/>
      <c r="S42" s="166"/>
      <c r="T42" s="71"/>
      <c r="U42" s="152"/>
    </row>
    <row r="43" spans="1:21" ht="6" customHeight="1" x14ac:dyDescent="0.15">
      <c r="A43" s="148"/>
      <c r="B43" s="71"/>
      <c r="C43" s="149"/>
      <c r="D43" s="149"/>
      <c r="E43" s="149"/>
      <c r="F43" s="149"/>
      <c r="G43" s="149"/>
      <c r="H43" s="149"/>
      <c r="I43" s="71"/>
      <c r="J43" s="149"/>
      <c r="K43" s="149"/>
      <c r="L43" s="149"/>
      <c r="M43" s="149"/>
      <c r="N43" s="149"/>
      <c r="O43" s="71"/>
      <c r="P43" s="149"/>
      <c r="Q43" s="149"/>
      <c r="R43" s="149"/>
      <c r="S43" s="149"/>
      <c r="T43" s="149"/>
      <c r="U43" s="151"/>
    </row>
    <row r="44" spans="1:21" ht="6" customHeight="1" x14ac:dyDescent="0.15">
      <c r="A44" s="148"/>
      <c r="B44" s="523"/>
      <c r="C44" s="524"/>
      <c r="D44" s="524"/>
      <c r="E44" s="524"/>
      <c r="F44" s="524"/>
      <c r="G44" s="525"/>
      <c r="H44" s="71"/>
      <c r="I44" s="523"/>
      <c r="J44" s="524"/>
      <c r="K44" s="524"/>
      <c r="L44" s="524"/>
      <c r="M44" s="524"/>
      <c r="N44" s="525"/>
      <c r="U44" s="152"/>
    </row>
    <row r="45" spans="1:21" x14ac:dyDescent="0.15">
      <c r="A45" s="148"/>
      <c r="B45" s="153"/>
      <c r="C45" s="154" t="s">
        <v>1035</v>
      </c>
      <c r="D45" s="758" t="s">
        <v>203</v>
      </c>
      <c r="E45" s="758"/>
      <c r="F45" s="758"/>
      <c r="G45" s="70"/>
      <c r="H45" s="71"/>
      <c r="I45" s="153"/>
      <c r="J45" s="154" t="s">
        <v>1036</v>
      </c>
      <c r="K45" s="758" t="s">
        <v>203</v>
      </c>
      <c r="L45" s="758"/>
      <c r="M45" s="758"/>
      <c r="N45" s="70"/>
      <c r="U45" s="152"/>
    </row>
    <row r="46" spans="1:21" x14ac:dyDescent="0.15">
      <c r="A46" s="148"/>
      <c r="B46" s="153"/>
      <c r="C46" s="154"/>
      <c r="D46" s="758" t="s">
        <v>205</v>
      </c>
      <c r="E46" s="758"/>
      <c r="F46" s="758"/>
      <c r="G46" s="70"/>
      <c r="H46" s="71"/>
      <c r="I46" s="153"/>
      <c r="J46" s="154"/>
      <c r="K46" s="758" t="s">
        <v>205</v>
      </c>
      <c r="L46" s="758"/>
      <c r="M46" s="758"/>
      <c r="N46" s="70"/>
      <c r="U46" s="152"/>
    </row>
    <row r="47" spans="1:21" ht="15" customHeight="1" x14ac:dyDescent="0.15">
      <c r="A47" s="148"/>
      <c r="B47" s="153"/>
      <c r="C47" s="71"/>
      <c r="D47" s="155">
        <v>1</v>
      </c>
      <c r="E47" s="155">
        <v>2</v>
      </c>
      <c r="F47" s="155">
        <v>3</v>
      </c>
      <c r="G47" s="70"/>
      <c r="H47" s="71"/>
      <c r="I47" s="153"/>
      <c r="J47" s="71"/>
      <c r="K47" s="155">
        <v>1</v>
      </c>
      <c r="L47" s="155">
        <v>2</v>
      </c>
      <c r="M47" s="155">
        <v>3</v>
      </c>
      <c r="N47" s="70"/>
      <c r="U47" s="152"/>
    </row>
    <row r="48" spans="1:21" ht="20.25" customHeight="1" x14ac:dyDescent="0.15">
      <c r="A48" s="148"/>
      <c r="B48" s="153"/>
      <c r="C48" s="71" t="s">
        <v>206</v>
      </c>
      <c r="D48" s="156"/>
      <c r="E48" s="156"/>
      <c r="F48" s="157"/>
      <c r="G48" s="70"/>
      <c r="H48" s="71"/>
      <c r="I48" s="153"/>
      <c r="J48" s="71" t="s">
        <v>206</v>
      </c>
      <c r="K48" s="156"/>
      <c r="L48" s="156"/>
      <c r="M48" s="157"/>
      <c r="N48" s="70"/>
      <c r="U48" s="152"/>
    </row>
    <row r="49" spans="1:21" ht="20.25" customHeight="1" x14ac:dyDescent="0.15">
      <c r="A49" s="148"/>
      <c r="B49" s="153"/>
      <c r="C49" s="71" t="s">
        <v>207</v>
      </c>
      <c r="D49" s="158"/>
      <c r="E49" s="158"/>
      <c r="F49" s="159"/>
      <c r="G49" s="70"/>
      <c r="H49" s="71"/>
      <c r="I49" s="153"/>
      <c r="J49" s="71" t="s">
        <v>207</v>
      </c>
      <c r="K49" s="158"/>
      <c r="L49" s="158"/>
      <c r="M49" s="159"/>
      <c r="N49" s="70"/>
      <c r="U49" s="152"/>
    </row>
    <row r="50" spans="1:21" ht="20.25" customHeight="1" x14ac:dyDescent="0.15">
      <c r="A50" s="148"/>
      <c r="B50" s="153"/>
      <c r="C50" s="71" t="s">
        <v>208</v>
      </c>
      <c r="D50" s="158"/>
      <c r="E50" s="158"/>
      <c r="F50" s="159"/>
      <c r="G50" s="70"/>
      <c r="H50" s="71"/>
      <c r="I50" s="153"/>
      <c r="J50" s="71" t="s">
        <v>208</v>
      </c>
      <c r="K50" s="158"/>
      <c r="L50" s="158"/>
      <c r="M50" s="159"/>
      <c r="N50" s="70"/>
      <c r="U50" s="152"/>
    </row>
    <row r="51" spans="1:21" ht="6" customHeight="1" x14ac:dyDescent="0.15">
      <c r="A51" s="148"/>
      <c r="B51" s="153"/>
      <c r="C51" s="71"/>
      <c r="D51" s="71"/>
      <c r="E51" s="71"/>
      <c r="F51" s="71"/>
      <c r="G51" s="70"/>
      <c r="H51" s="71"/>
      <c r="I51" s="153"/>
      <c r="J51" s="71"/>
      <c r="K51" s="71"/>
      <c r="L51" s="71"/>
      <c r="M51" s="71"/>
      <c r="N51" s="70"/>
      <c r="U51" s="152"/>
    </row>
    <row r="52" spans="1:21" ht="18" customHeight="1" x14ac:dyDescent="0.15">
      <c r="A52" s="148"/>
      <c r="B52" s="153"/>
      <c r="C52" s="71" t="s">
        <v>209</v>
      </c>
      <c r="D52" s="71"/>
      <c r="E52" s="71"/>
      <c r="F52" s="71"/>
      <c r="G52" s="70"/>
      <c r="H52" s="71"/>
      <c r="I52" s="153"/>
      <c r="J52" s="71" t="s">
        <v>209</v>
      </c>
      <c r="K52" s="71"/>
      <c r="L52" s="71"/>
      <c r="M52" s="71"/>
      <c r="N52" s="70"/>
      <c r="U52" s="152"/>
    </row>
    <row r="53" spans="1:21" ht="18" customHeight="1" x14ac:dyDescent="0.15">
      <c r="A53" s="148"/>
      <c r="B53" s="153"/>
      <c r="C53" s="160" t="s">
        <v>210</v>
      </c>
      <c r="D53" s="214">
        <f>IF(D48=0,0,AVERAGE(D48:F50))</f>
        <v>0</v>
      </c>
      <c r="E53" s="161" t="s">
        <v>211</v>
      </c>
      <c r="F53" s="214">
        <f>IF(D53=0,0,D53/(1+D53))</f>
        <v>0</v>
      </c>
      <c r="G53" s="70"/>
      <c r="H53" s="71"/>
      <c r="I53" s="153"/>
      <c r="J53" s="160" t="s">
        <v>210</v>
      </c>
      <c r="K53" s="214">
        <f>IF(K48=0,0,AVERAGE(K48:M50))</f>
        <v>0</v>
      </c>
      <c r="L53" s="161" t="s">
        <v>211</v>
      </c>
      <c r="M53" s="214">
        <f>IF(K53=0,0,K53/(1+K53))</f>
        <v>0</v>
      </c>
      <c r="N53" s="70"/>
      <c r="U53" s="152"/>
    </row>
    <row r="54" spans="1:21" ht="6.75" customHeight="1" x14ac:dyDescent="0.15">
      <c r="A54" s="148"/>
      <c r="B54" s="162"/>
      <c r="C54" s="163"/>
      <c r="D54" s="163"/>
      <c r="E54" s="163"/>
      <c r="F54" s="164"/>
      <c r="G54" s="165"/>
      <c r="H54" s="71"/>
      <c r="I54" s="162"/>
      <c r="J54" s="163"/>
      <c r="K54" s="163"/>
      <c r="L54" s="163"/>
      <c r="M54" s="164"/>
      <c r="N54" s="165"/>
      <c r="U54" s="152"/>
    </row>
    <row r="55" spans="1:21" ht="6.75" customHeight="1" x14ac:dyDescent="0.15">
      <c r="A55" s="148"/>
      <c r="B55" s="71"/>
      <c r="C55" s="71"/>
      <c r="D55" s="71"/>
      <c r="E55" s="71"/>
      <c r="F55" s="166"/>
      <c r="G55" s="71"/>
      <c r="H55" s="71"/>
      <c r="O55" s="71"/>
      <c r="P55" s="71"/>
      <c r="Q55" s="71"/>
      <c r="R55" s="71"/>
      <c r="S55" s="166"/>
      <c r="T55" s="71"/>
      <c r="U55" s="152"/>
    </row>
    <row r="56" spans="1:21" ht="6" customHeight="1" x14ac:dyDescent="0.15">
      <c r="A56" s="148"/>
      <c r="B56" s="71"/>
      <c r="C56" s="149"/>
      <c r="D56" s="149"/>
      <c r="E56" s="149"/>
      <c r="F56" s="149"/>
      <c r="G56" s="149"/>
      <c r="H56" s="149"/>
      <c r="I56" s="71"/>
      <c r="J56" s="149"/>
      <c r="K56" s="149"/>
      <c r="L56" s="149"/>
      <c r="M56" s="149"/>
      <c r="N56" s="149"/>
      <c r="O56" s="71"/>
      <c r="P56" s="149"/>
      <c r="Q56" s="149"/>
      <c r="R56" s="149"/>
      <c r="S56" s="149"/>
      <c r="T56" s="149"/>
      <c r="U56" s="151"/>
    </row>
    <row r="57" spans="1:21" ht="6" customHeight="1" x14ac:dyDescent="0.15">
      <c r="A57" s="148"/>
      <c r="B57" s="523"/>
      <c r="C57" s="524"/>
      <c r="D57" s="524"/>
      <c r="E57" s="524"/>
      <c r="F57" s="524"/>
      <c r="G57" s="525"/>
      <c r="H57" s="71"/>
      <c r="I57" s="523"/>
      <c r="J57" s="524"/>
      <c r="K57" s="524"/>
      <c r="L57" s="524"/>
      <c r="M57" s="524"/>
      <c r="N57" s="525"/>
      <c r="U57" s="152"/>
    </row>
    <row r="58" spans="1:21" x14ac:dyDescent="0.15">
      <c r="A58" s="148"/>
      <c r="B58" s="153"/>
      <c r="C58" s="154" t="s">
        <v>1037</v>
      </c>
      <c r="D58" s="758" t="s">
        <v>203</v>
      </c>
      <c r="E58" s="758"/>
      <c r="F58" s="758"/>
      <c r="G58" s="70"/>
      <c r="H58" s="71"/>
      <c r="I58" s="153"/>
      <c r="J58" s="154" t="s">
        <v>1038</v>
      </c>
      <c r="K58" s="758" t="s">
        <v>203</v>
      </c>
      <c r="L58" s="758"/>
      <c r="M58" s="758"/>
      <c r="N58" s="70"/>
      <c r="U58" s="152"/>
    </row>
    <row r="59" spans="1:21" x14ac:dyDescent="0.15">
      <c r="A59" s="148"/>
      <c r="B59" s="153"/>
      <c r="C59" s="154"/>
      <c r="D59" s="758" t="s">
        <v>205</v>
      </c>
      <c r="E59" s="758"/>
      <c r="F59" s="758"/>
      <c r="G59" s="70"/>
      <c r="H59" s="71"/>
      <c r="I59" s="153"/>
      <c r="J59" s="154"/>
      <c r="K59" s="758" t="s">
        <v>205</v>
      </c>
      <c r="L59" s="758"/>
      <c r="M59" s="758"/>
      <c r="N59" s="70"/>
      <c r="U59" s="152"/>
    </row>
    <row r="60" spans="1:21" ht="15" customHeight="1" x14ac:dyDescent="0.15">
      <c r="A60" s="148"/>
      <c r="B60" s="153"/>
      <c r="C60" s="71"/>
      <c r="D60" s="155">
        <v>1</v>
      </c>
      <c r="E60" s="155">
        <v>2</v>
      </c>
      <c r="F60" s="155">
        <v>3</v>
      </c>
      <c r="G60" s="70"/>
      <c r="H60" s="71"/>
      <c r="I60" s="153"/>
      <c r="J60" s="71"/>
      <c r="K60" s="155">
        <v>1</v>
      </c>
      <c r="L60" s="155">
        <v>2</v>
      </c>
      <c r="M60" s="155">
        <v>3</v>
      </c>
      <c r="N60" s="70"/>
      <c r="U60" s="152"/>
    </row>
    <row r="61" spans="1:21" ht="20.25" customHeight="1" x14ac:dyDescent="0.15">
      <c r="A61" s="148"/>
      <c r="B61" s="153"/>
      <c r="C61" s="71" t="s">
        <v>206</v>
      </c>
      <c r="D61" s="156"/>
      <c r="E61" s="156"/>
      <c r="F61" s="157"/>
      <c r="G61" s="70"/>
      <c r="H61" s="71"/>
      <c r="I61" s="153"/>
      <c r="J61" s="71" t="s">
        <v>206</v>
      </c>
      <c r="K61" s="156"/>
      <c r="L61" s="156"/>
      <c r="M61" s="157"/>
      <c r="N61" s="70"/>
      <c r="U61" s="152"/>
    </row>
    <row r="62" spans="1:21" ht="20.25" customHeight="1" x14ac:dyDescent="0.15">
      <c r="A62" s="148"/>
      <c r="B62" s="153"/>
      <c r="C62" s="71" t="s">
        <v>207</v>
      </c>
      <c r="D62" s="158"/>
      <c r="E62" s="158"/>
      <c r="F62" s="159"/>
      <c r="G62" s="70"/>
      <c r="H62" s="71"/>
      <c r="I62" s="153"/>
      <c r="J62" s="71" t="s">
        <v>207</v>
      </c>
      <c r="K62" s="158"/>
      <c r="L62" s="158"/>
      <c r="M62" s="159"/>
      <c r="N62" s="70"/>
      <c r="U62" s="152"/>
    </row>
    <row r="63" spans="1:21" ht="20.25" customHeight="1" x14ac:dyDescent="0.15">
      <c r="A63" s="148"/>
      <c r="B63" s="153"/>
      <c r="C63" s="71" t="s">
        <v>208</v>
      </c>
      <c r="D63" s="158"/>
      <c r="E63" s="158"/>
      <c r="F63" s="159"/>
      <c r="G63" s="70"/>
      <c r="H63" s="71"/>
      <c r="I63" s="153"/>
      <c r="J63" s="71" t="s">
        <v>208</v>
      </c>
      <c r="K63" s="158"/>
      <c r="L63" s="158"/>
      <c r="M63" s="159"/>
      <c r="N63" s="70"/>
      <c r="U63" s="152"/>
    </row>
    <row r="64" spans="1:21" ht="6" customHeight="1" x14ac:dyDescent="0.15">
      <c r="A64" s="148"/>
      <c r="B64" s="153"/>
      <c r="C64" s="71"/>
      <c r="D64" s="71"/>
      <c r="E64" s="71"/>
      <c r="F64" s="71"/>
      <c r="G64" s="70"/>
      <c r="H64" s="71"/>
      <c r="I64" s="153"/>
      <c r="J64" s="71"/>
      <c r="K64" s="71"/>
      <c r="L64" s="71"/>
      <c r="M64" s="71"/>
      <c r="N64" s="70"/>
      <c r="U64" s="152"/>
    </row>
    <row r="65" spans="1:21" ht="18" customHeight="1" x14ac:dyDescent="0.15">
      <c r="A65" s="148"/>
      <c r="B65" s="153"/>
      <c r="C65" s="71" t="s">
        <v>209</v>
      </c>
      <c r="D65" s="71"/>
      <c r="E65" s="71"/>
      <c r="F65" s="71"/>
      <c r="G65" s="70"/>
      <c r="H65" s="71"/>
      <c r="I65" s="153"/>
      <c r="J65" s="71" t="s">
        <v>209</v>
      </c>
      <c r="K65" s="71"/>
      <c r="L65" s="71"/>
      <c r="M65" s="71"/>
      <c r="N65" s="70"/>
      <c r="U65" s="152"/>
    </row>
    <row r="66" spans="1:21" ht="18" customHeight="1" x14ac:dyDescent="0.15">
      <c r="A66" s="148"/>
      <c r="B66" s="153"/>
      <c r="C66" s="160" t="s">
        <v>210</v>
      </c>
      <c r="D66" s="214">
        <f>IF(D61=0,0,AVERAGE(D61:F63))</f>
        <v>0</v>
      </c>
      <c r="E66" s="161" t="s">
        <v>211</v>
      </c>
      <c r="F66" s="214">
        <f>IF(D66=0,0,D66/(1+D66))</f>
        <v>0</v>
      </c>
      <c r="G66" s="70"/>
      <c r="H66" s="71"/>
      <c r="I66" s="153"/>
      <c r="J66" s="160" t="s">
        <v>210</v>
      </c>
      <c r="K66" s="214">
        <f>IF(K61=0,0,AVERAGE(K61:M63))</f>
        <v>0</v>
      </c>
      <c r="L66" s="161" t="s">
        <v>211</v>
      </c>
      <c r="M66" s="214">
        <f>IF(K66=0,0,K66/(1+K66))</f>
        <v>0</v>
      </c>
      <c r="N66" s="70"/>
      <c r="U66" s="152"/>
    </row>
    <row r="67" spans="1:21" ht="6.75" customHeight="1" x14ac:dyDescent="0.15">
      <c r="A67" s="148"/>
      <c r="B67" s="162"/>
      <c r="C67" s="163"/>
      <c r="D67" s="163"/>
      <c r="E67" s="163"/>
      <c r="F67" s="164"/>
      <c r="G67" s="165"/>
      <c r="H67" s="71"/>
      <c r="I67" s="162"/>
      <c r="J67" s="163"/>
      <c r="K67" s="163"/>
      <c r="L67" s="163"/>
      <c r="M67" s="164"/>
      <c r="N67" s="165"/>
      <c r="U67" s="152"/>
    </row>
    <row r="68" spans="1:21" ht="6.75" customHeight="1" x14ac:dyDescent="0.15">
      <c r="A68" s="148"/>
      <c r="B68" s="71"/>
      <c r="C68" s="71"/>
      <c r="D68" s="71"/>
      <c r="E68" s="71"/>
      <c r="F68" s="166"/>
      <c r="G68" s="71"/>
      <c r="H68" s="71"/>
      <c r="O68" s="71"/>
      <c r="P68" s="71"/>
      <c r="Q68" s="71"/>
      <c r="R68" s="71"/>
      <c r="S68" s="166"/>
      <c r="T68" s="71"/>
      <c r="U68" s="152"/>
    </row>
    <row r="69" spans="1:21" ht="6" customHeight="1" x14ac:dyDescent="0.15">
      <c r="A69" s="148"/>
      <c r="B69" s="71"/>
      <c r="C69" s="71"/>
      <c r="D69" s="71"/>
      <c r="E69" s="71"/>
      <c r="F69" s="71"/>
      <c r="G69" s="71"/>
      <c r="H69" s="71"/>
      <c r="I69" s="71"/>
      <c r="J69" s="71"/>
      <c r="K69" s="71"/>
      <c r="L69" s="71"/>
      <c r="M69" s="71"/>
      <c r="N69" s="71"/>
      <c r="O69" s="71"/>
      <c r="P69" s="71"/>
      <c r="Q69" s="71"/>
      <c r="R69" s="71"/>
      <c r="S69" s="71"/>
      <c r="T69" s="71"/>
      <c r="U69" s="152"/>
    </row>
    <row r="70" spans="1:21" ht="12.75" customHeight="1" thickBot="1" x14ac:dyDescent="0.2">
      <c r="A70" s="167"/>
      <c r="B70" s="760" t="s">
        <v>213</v>
      </c>
      <c r="C70" s="760"/>
      <c r="D70" s="760"/>
      <c r="E70" s="760"/>
      <c r="F70" s="760"/>
      <c r="G70" s="760"/>
      <c r="H70" s="760"/>
      <c r="I70" s="760"/>
      <c r="J70" s="760"/>
      <c r="K70" s="760"/>
      <c r="L70" s="760"/>
      <c r="M70" s="760"/>
      <c r="N70" s="760"/>
      <c r="O70" s="760"/>
      <c r="P70" s="760"/>
      <c r="Q70" s="760"/>
      <c r="R70" s="760"/>
      <c r="S70" s="760"/>
      <c r="T70" s="760"/>
      <c r="U70" s="761"/>
    </row>
    <row r="71" spans="1:21" ht="18" customHeight="1" thickTop="1" x14ac:dyDescent="0.15"/>
    <row r="72" spans="1:21" ht="6.75" customHeight="1" x14ac:dyDescent="0.15"/>
    <row r="73" spans="1:21" ht="6.75" customHeight="1" x14ac:dyDescent="0.15"/>
    <row r="74" spans="1:21" ht="6" customHeight="1" x14ac:dyDescent="0.15"/>
    <row r="76" spans="1:21" ht="15" customHeight="1" x14ac:dyDescent="0.15"/>
    <row r="77" spans="1:21" ht="20.25" customHeight="1" x14ac:dyDescent="0.15"/>
    <row r="78" spans="1:21" ht="20.25" customHeight="1" x14ac:dyDescent="0.15"/>
    <row r="79" spans="1:21" ht="20.25" customHeight="1" x14ac:dyDescent="0.15"/>
    <row r="80" spans="1:21" ht="6" customHeight="1" x14ac:dyDescent="0.15"/>
    <row r="81" ht="12.75" customHeight="1" x14ac:dyDescent="0.15"/>
    <row r="82" ht="18" customHeight="1" x14ac:dyDescent="0.15"/>
    <row r="83" ht="6.75" customHeight="1" x14ac:dyDescent="0.15"/>
    <row r="84" ht="6" customHeight="1" x14ac:dyDescent="0.15"/>
  </sheetData>
  <mergeCells count="24">
    <mergeCell ref="D59:F59"/>
    <mergeCell ref="K59:M59"/>
    <mergeCell ref="B70:U70"/>
    <mergeCell ref="D45:F45"/>
    <mergeCell ref="K45:M45"/>
    <mergeCell ref="D46:F46"/>
    <mergeCell ref="K46:M46"/>
    <mergeCell ref="D58:F58"/>
    <mergeCell ref="K58:M58"/>
    <mergeCell ref="K19:M19"/>
    <mergeCell ref="K20:M20"/>
    <mergeCell ref="D32:F32"/>
    <mergeCell ref="K32:M32"/>
    <mergeCell ref="D33:F33"/>
    <mergeCell ref="K33:M33"/>
    <mergeCell ref="D19:F19"/>
    <mergeCell ref="D20:F20"/>
    <mergeCell ref="B2:T2"/>
    <mergeCell ref="B3:T3"/>
    <mergeCell ref="D6:F6"/>
    <mergeCell ref="K6:M6"/>
    <mergeCell ref="D7:F7"/>
    <mergeCell ref="K7:M7"/>
    <mergeCell ref="P7:S7"/>
  </mergeCells>
  <phoneticPr fontId="4" type="noConversion"/>
  <pageMargins left="0.74791666666666667" right="0.74791666666666667" top="0.75" bottom="0.75" header="0.51180555555555551" footer="0.51180555555555551"/>
  <pageSetup scale="97" firstPageNumber="0" orientation="landscape" horizontalDpi="300" verticalDpi="300" r:id="rId1"/>
  <headerFooter alignWithMargins="0"/>
  <drawing r:id="rId2"/>
  <legacyDrawing r:id="rId3"/>
  <oleObjects>
    <mc:AlternateContent xmlns:mc="http://schemas.openxmlformats.org/markup-compatibility/2006">
      <mc:Choice Requires="x14">
        <oleObject progId="Microsoft Equation 3.0" shapeId="5122" r:id="rId4">
          <objectPr defaultSize="0" autoPict="0" r:id="rId5">
            <anchor moveWithCells="1" sizeWithCells="1">
              <from>
                <xdr:col>16</xdr:col>
                <xdr:colOff>9525</xdr:colOff>
                <xdr:row>10</xdr:row>
                <xdr:rowOff>171450</xdr:rowOff>
              </from>
              <to>
                <xdr:col>17</xdr:col>
                <xdr:colOff>400050</xdr:colOff>
                <xdr:row>12</xdr:row>
                <xdr:rowOff>219075</xdr:rowOff>
              </to>
            </anchor>
          </objectPr>
        </oleObject>
      </mc:Choice>
      <mc:Fallback>
        <oleObject progId="Microsoft Equation 3.0" shapeId="5122" r:id="rId4"/>
      </mc:Fallback>
    </mc:AlternateContent>
  </oleObjec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7"/>
  <dimension ref="A1:O26"/>
  <sheetViews>
    <sheetView showGridLines="0" workbookViewId="0"/>
  </sheetViews>
  <sheetFormatPr defaultRowHeight="12.75" x14ac:dyDescent="0.15"/>
  <cols>
    <col min="1" max="1" width="2.2890625" customWidth="1"/>
    <col min="2" max="2" width="28.453125" customWidth="1"/>
    <col min="3" max="3" width="14.42578125" customWidth="1"/>
    <col min="4" max="4" width="2.6953125" style="303" customWidth="1"/>
    <col min="5" max="5" width="9.16796875" style="305" customWidth="1"/>
    <col min="6" max="6" width="2.15625" style="303" customWidth="1"/>
    <col min="7" max="7" width="9.16796875" style="305" customWidth="1"/>
    <col min="8" max="8" width="2.42578125" style="303" customWidth="1"/>
    <col min="9" max="9" width="9.03515625" style="305" customWidth="1"/>
    <col min="10" max="10" width="2.2890625" style="303" customWidth="1"/>
    <col min="11" max="11" width="7.68359375" style="305" customWidth="1"/>
    <col min="12" max="12" width="2.828125" style="303" customWidth="1"/>
    <col min="13" max="13" width="9.16796875" style="305" customWidth="1"/>
  </cols>
  <sheetData>
    <row r="1" spans="1:14" x14ac:dyDescent="0.15">
      <c r="B1" s="169" t="s">
        <v>214</v>
      </c>
      <c r="C1" s="169" t="s">
        <v>940</v>
      </c>
      <c r="D1" s="170"/>
      <c r="E1" s="169" t="s">
        <v>949</v>
      </c>
      <c r="M1" s="308" t="s">
        <v>756</v>
      </c>
      <c r="N1" s="220" t="s">
        <v>965</v>
      </c>
    </row>
    <row r="2" spans="1:14" x14ac:dyDescent="0.15">
      <c r="B2" s="119"/>
    </row>
    <row r="3" spans="1:14" x14ac:dyDescent="0.15">
      <c r="A3">
        <v>1</v>
      </c>
      <c r="B3" s="119" t="s">
        <v>248</v>
      </c>
      <c r="C3" t="s">
        <v>248</v>
      </c>
      <c r="E3" s="305" t="s">
        <v>950</v>
      </c>
    </row>
    <row r="4" spans="1:14" x14ac:dyDescent="0.15">
      <c r="A4">
        <f>A3+1</f>
        <v>2</v>
      </c>
      <c r="B4" s="119" t="s">
        <v>260</v>
      </c>
      <c r="C4" t="s">
        <v>709</v>
      </c>
      <c r="E4" s="305" t="s">
        <v>951</v>
      </c>
    </row>
    <row r="5" spans="1:14" x14ac:dyDescent="0.15">
      <c r="A5">
        <f>A4+1</f>
        <v>3</v>
      </c>
      <c r="B5" s="119" t="s">
        <v>267</v>
      </c>
      <c r="C5" t="s">
        <v>710</v>
      </c>
      <c r="E5" s="305" t="s">
        <v>957</v>
      </c>
    </row>
    <row r="6" spans="1:14" x14ac:dyDescent="0.15">
      <c r="A6">
        <f>A5+1</f>
        <v>4</v>
      </c>
      <c r="B6" s="119" t="s">
        <v>271</v>
      </c>
      <c r="C6" t="s">
        <v>711</v>
      </c>
    </row>
    <row r="7" spans="1:14" x14ac:dyDescent="0.15">
      <c r="A7">
        <f>A6+1</f>
        <v>5</v>
      </c>
      <c r="B7" s="119" t="s">
        <v>273</v>
      </c>
      <c r="C7" t="s">
        <v>713</v>
      </c>
    </row>
    <row r="8" spans="1:14" x14ac:dyDescent="0.15">
      <c r="A8">
        <f>A7+1</f>
        <v>6</v>
      </c>
      <c r="B8" s="119" t="s">
        <v>275</v>
      </c>
      <c r="C8" t="s">
        <v>272</v>
      </c>
    </row>
    <row r="9" spans="1:14" x14ac:dyDescent="0.15">
      <c r="C9" t="s">
        <v>714</v>
      </c>
    </row>
    <row r="10" spans="1:14" x14ac:dyDescent="0.15">
      <c r="C10" t="s">
        <v>712</v>
      </c>
    </row>
    <row r="14" spans="1:14" x14ac:dyDescent="0.15">
      <c r="B14" s="119" t="s">
        <v>930</v>
      </c>
      <c r="C14" s="119" t="s">
        <v>90</v>
      </c>
      <c r="D14" s="168"/>
      <c r="E14" s="306" t="s">
        <v>846</v>
      </c>
      <c r="F14" s="168"/>
      <c r="G14" s="307" t="s">
        <v>847</v>
      </c>
      <c r="H14" s="272"/>
      <c r="I14" s="307" t="s">
        <v>848</v>
      </c>
      <c r="J14" s="272"/>
      <c r="K14" s="307" t="s">
        <v>849</v>
      </c>
      <c r="L14" s="272"/>
      <c r="M14" s="307" t="s">
        <v>850</v>
      </c>
    </row>
    <row r="15" spans="1:14" ht="14.25" x14ac:dyDescent="0.2">
      <c r="B15" s="119" t="s">
        <v>851</v>
      </c>
      <c r="C15" s="119" t="s">
        <v>113</v>
      </c>
      <c r="D15" s="304" t="s">
        <v>882</v>
      </c>
      <c r="E15" s="306">
        <v>0.15</v>
      </c>
      <c r="F15" s="304" t="s">
        <v>883</v>
      </c>
      <c r="G15" s="306">
        <v>0.15</v>
      </c>
      <c r="H15" s="304" t="s">
        <v>883</v>
      </c>
      <c r="I15" s="307">
        <v>0.25</v>
      </c>
      <c r="J15" s="304" t="s">
        <v>883</v>
      </c>
      <c r="K15" s="307">
        <v>0.35</v>
      </c>
      <c r="L15" s="304" t="s">
        <v>883</v>
      </c>
      <c r="M15" s="307">
        <v>0.45</v>
      </c>
    </row>
    <row r="16" spans="1:14" ht="14.25" x14ac:dyDescent="0.2">
      <c r="B16" s="119" t="s">
        <v>852</v>
      </c>
      <c r="C16" s="119" t="s">
        <v>853</v>
      </c>
      <c r="D16" s="304" t="s">
        <v>881</v>
      </c>
      <c r="E16" s="306">
        <v>0.05</v>
      </c>
      <c r="F16" s="304" t="s">
        <v>880</v>
      </c>
      <c r="G16" s="306">
        <v>0.05</v>
      </c>
      <c r="H16" s="304" t="s">
        <v>880</v>
      </c>
      <c r="I16" s="307">
        <v>3.9E-2</v>
      </c>
      <c r="J16" s="304" t="s">
        <v>880</v>
      </c>
      <c r="K16" s="307">
        <v>2.8000000000000001E-2</v>
      </c>
      <c r="L16" s="304" t="s">
        <v>880</v>
      </c>
      <c r="M16" s="307">
        <v>1.7000000000000001E-2</v>
      </c>
    </row>
    <row r="17" spans="2:15" ht="14.25" x14ac:dyDescent="0.2">
      <c r="B17" s="119" t="s">
        <v>854</v>
      </c>
      <c r="C17" s="119" t="s">
        <v>855</v>
      </c>
      <c r="D17" s="304" t="s">
        <v>881</v>
      </c>
      <c r="E17" s="306">
        <v>16</v>
      </c>
      <c r="F17" s="304" t="s">
        <v>880</v>
      </c>
      <c r="G17" s="306">
        <v>16</v>
      </c>
      <c r="H17" s="304" t="s">
        <v>880</v>
      </c>
      <c r="I17" s="307">
        <v>11</v>
      </c>
      <c r="J17" s="304" t="s">
        <v>880</v>
      </c>
      <c r="K17" s="307">
        <v>9</v>
      </c>
      <c r="L17" s="304" t="s">
        <v>880</v>
      </c>
      <c r="M17" s="307">
        <v>8</v>
      </c>
    </row>
    <row r="18" spans="2:15" ht="14.25" x14ac:dyDescent="0.2">
      <c r="B18" s="119" t="s">
        <v>856</v>
      </c>
      <c r="C18" s="119" t="s">
        <v>857</v>
      </c>
      <c r="D18" s="304" t="s">
        <v>881</v>
      </c>
      <c r="E18" s="306">
        <v>0.2</v>
      </c>
      <c r="F18" s="304" t="s">
        <v>880</v>
      </c>
      <c r="G18" s="306">
        <v>0.2</v>
      </c>
      <c r="H18" s="304" t="s">
        <v>880</v>
      </c>
      <c r="I18" s="307">
        <v>0.13</v>
      </c>
      <c r="J18" s="304" t="s">
        <v>880</v>
      </c>
      <c r="K18" s="307">
        <v>0.1</v>
      </c>
      <c r="L18" s="304" t="s">
        <v>880</v>
      </c>
      <c r="M18" s="307">
        <v>0.09</v>
      </c>
    </row>
    <row r="19" spans="2:15" ht="14.25" x14ac:dyDescent="0.2">
      <c r="B19" s="119" t="s">
        <v>858</v>
      </c>
      <c r="C19" s="119" t="s">
        <v>859</v>
      </c>
      <c r="D19" s="304" t="s">
        <v>881</v>
      </c>
      <c r="E19" s="306">
        <v>979</v>
      </c>
      <c r="F19" s="304" t="s">
        <v>880</v>
      </c>
      <c r="G19" s="306">
        <v>979</v>
      </c>
      <c r="H19" s="304" t="s">
        <v>880</v>
      </c>
      <c r="I19" s="307">
        <v>386</v>
      </c>
      <c r="J19" s="304" t="s">
        <v>880</v>
      </c>
      <c r="K19" s="307">
        <v>168</v>
      </c>
      <c r="L19" s="304" t="s">
        <v>880</v>
      </c>
      <c r="M19" s="307">
        <v>41</v>
      </c>
    </row>
    <row r="20" spans="2:15" ht="14.25" x14ac:dyDescent="0.2">
      <c r="B20" s="119" t="s">
        <v>860</v>
      </c>
      <c r="C20" s="119" t="s">
        <v>861</v>
      </c>
      <c r="D20" s="304" t="s">
        <v>881</v>
      </c>
      <c r="E20" s="306">
        <v>8</v>
      </c>
      <c r="F20" s="304" t="s">
        <v>880</v>
      </c>
      <c r="G20" s="306">
        <v>8</v>
      </c>
      <c r="H20" s="304" t="s">
        <v>880</v>
      </c>
      <c r="I20" s="307">
        <v>4</v>
      </c>
      <c r="J20" s="304" t="s">
        <v>880</v>
      </c>
      <c r="K20" s="307">
        <v>2</v>
      </c>
      <c r="L20" s="304" t="s">
        <v>880</v>
      </c>
      <c r="M20" s="307">
        <v>1</v>
      </c>
    </row>
    <row r="21" spans="2:15" ht="14.25" x14ac:dyDescent="0.2">
      <c r="B21" s="119" t="s">
        <v>862</v>
      </c>
      <c r="C21" s="119" t="s">
        <v>154</v>
      </c>
      <c r="D21" s="304" t="s">
        <v>881</v>
      </c>
      <c r="E21" s="306">
        <v>0.97</v>
      </c>
      <c r="F21" s="304" t="s">
        <v>880</v>
      </c>
      <c r="G21" s="306">
        <v>0.97</v>
      </c>
      <c r="H21" s="304" t="s">
        <v>880</v>
      </c>
      <c r="I21" s="307">
        <v>0.62</v>
      </c>
      <c r="J21" s="304" t="s">
        <v>880</v>
      </c>
      <c r="K21" s="307">
        <v>0.49</v>
      </c>
      <c r="L21" s="304" t="s">
        <v>880</v>
      </c>
      <c r="M21" s="307">
        <v>0.42</v>
      </c>
    </row>
    <row r="22" spans="2:15" ht="14.25" x14ac:dyDescent="0.2">
      <c r="B22" s="119" t="s">
        <v>863</v>
      </c>
      <c r="C22" s="119" t="s">
        <v>864</v>
      </c>
      <c r="D22" s="304" t="s">
        <v>881</v>
      </c>
      <c r="E22" s="306">
        <v>40</v>
      </c>
      <c r="F22" s="304" t="s">
        <v>880</v>
      </c>
      <c r="G22" s="306">
        <v>40</v>
      </c>
      <c r="H22" s="304" t="s">
        <v>880</v>
      </c>
      <c r="I22" s="307">
        <v>17</v>
      </c>
      <c r="J22" s="304" t="s">
        <v>880</v>
      </c>
      <c r="K22" s="307">
        <v>8</v>
      </c>
      <c r="L22" s="304" t="s">
        <v>880</v>
      </c>
      <c r="M22" s="307">
        <v>2</v>
      </c>
    </row>
    <row r="23" spans="2:15" ht="14.25" x14ac:dyDescent="0.2">
      <c r="B23" s="119" t="s">
        <v>865</v>
      </c>
      <c r="C23" s="119" t="s">
        <v>931</v>
      </c>
      <c r="D23" s="304" t="s">
        <v>882</v>
      </c>
      <c r="E23" s="306">
        <v>45</v>
      </c>
      <c r="F23" s="304" t="s">
        <v>883</v>
      </c>
      <c r="G23" s="306">
        <v>45</v>
      </c>
      <c r="H23" s="304" t="s">
        <v>883</v>
      </c>
      <c r="I23" s="307">
        <v>75</v>
      </c>
      <c r="J23" s="304" t="s">
        <v>883</v>
      </c>
      <c r="K23" s="307">
        <v>88</v>
      </c>
      <c r="L23" s="304" t="s">
        <v>883</v>
      </c>
      <c r="M23" s="307">
        <v>95</v>
      </c>
    </row>
    <row r="26" spans="2:15" x14ac:dyDescent="0.15">
      <c r="O26" s="393"/>
    </row>
  </sheetData>
  <phoneticPr fontId="4" type="noConversion"/>
  <pageMargins left="0.75" right="0.75" top="1" bottom="1" header="0.5" footer="0.5"/>
  <pageSetup orientation="portrait" r:id="rId1"/>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dimension ref="A1:AP104"/>
  <sheetViews>
    <sheetView showGridLines="0" showZeros="0" view="pageBreakPreview" zoomScale="80" zoomScaleNormal="85" zoomScaleSheetLayoutView="80" workbookViewId="0">
      <pane ySplit="1" topLeftCell="A2" activePane="bottomLeft" state="frozen"/>
      <selection pane="bottomLeft" activeCell="C4" sqref="C4"/>
    </sheetView>
  </sheetViews>
  <sheetFormatPr defaultColWidth="9.16796875" defaultRowHeight="12.75" x14ac:dyDescent="0.15"/>
  <cols>
    <col min="1" max="1" width="5.66015625" style="119" customWidth="1"/>
    <col min="2" max="2" width="3.1015625" style="119" customWidth="1"/>
    <col min="3" max="3" width="93.18359375" style="126" customWidth="1"/>
    <col min="4" max="8" width="9.16796875" style="119" hidden="1" customWidth="1"/>
    <col min="9" max="9" width="9.16796875" style="119"/>
    <col min="10" max="10" width="9.16796875" style="119" hidden="1" customWidth="1"/>
    <col min="11" max="12" width="9.16796875" style="119"/>
    <col min="13" max="13" width="10.515625" style="119" customWidth="1"/>
    <col min="14" max="14" width="7.01171875" style="119" customWidth="1"/>
    <col min="15" max="15" width="2.42578125" style="119" customWidth="1"/>
    <col min="16" max="16" width="0" style="119" hidden="1" customWidth="1"/>
    <col min="17" max="17" width="0" style="168" hidden="1" customWidth="1"/>
    <col min="18" max="35" width="0" style="119" hidden="1" customWidth="1"/>
    <col min="36" max="37" width="9.16796875" style="119"/>
    <col min="38" max="38" width="14.42578125" style="119" customWidth="1"/>
    <col min="39" max="40" width="23.05859375" style="119" customWidth="1"/>
    <col min="41" max="41" width="17.2578125" style="119" customWidth="1"/>
    <col min="42" max="42" width="14.83203125" style="119" customWidth="1"/>
    <col min="43" max="16384" width="9.16796875" style="119"/>
  </cols>
  <sheetData>
    <row r="1" spans="1:42" ht="26.25" customHeight="1" x14ac:dyDescent="0.15">
      <c r="A1" s="169"/>
      <c r="B1" s="169"/>
      <c r="C1" s="154" t="s">
        <v>215</v>
      </c>
      <c r="D1" s="169" t="s">
        <v>215</v>
      </c>
      <c r="E1" s="169" t="s">
        <v>216</v>
      </c>
      <c r="F1" s="762" t="s">
        <v>217</v>
      </c>
      <c r="G1" s="762"/>
      <c r="H1" s="762"/>
      <c r="I1" s="172" t="s">
        <v>720</v>
      </c>
      <c r="J1" s="172" t="s">
        <v>724</v>
      </c>
      <c r="K1" s="172" t="s">
        <v>721</v>
      </c>
      <c r="L1" s="172" t="s">
        <v>735</v>
      </c>
      <c r="M1" s="172" t="s">
        <v>825</v>
      </c>
      <c r="P1" s="169" t="s">
        <v>218</v>
      </c>
      <c r="Q1" s="170" t="s">
        <v>219</v>
      </c>
      <c r="R1" s="169" t="s">
        <v>220</v>
      </c>
      <c r="S1" s="169" t="s">
        <v>221</v>
      </c>
      <c r="T1" s="169" t="s">
        <v>222</v>
      </c>
      <c r="U1" s="169" t="s">
        <v>223</v>
      </c>
      <c r="V1" s="169" t="s">
        <v>224</v>
      </c>
      <c r="W1" s="169"/>
      <c r="X1" s="169"/>
      <c r="Y1" s="169" t="s">
        <v>225</v>
      </c>
      <c r="AA1" s="119" t="s">
        <v>226</v>
      </c>
      <c r="AB1" s="171"/>
      <c r="AC1" s="171"/>
      <c r="AD1" s="171"/>
      <c r="AE1" s="171"/>
      <c r="AL1" s="119" t="s">
        <v>227</v>
      </c>
      <c r="AM1" s="119" t="s">
        <v>228</v>
      </c>
      <c r="AO1" s="119" t="s">
        <v>229</v>
      </c>
    </row>
    <row r="2" spans="1:42" ht="14.25" customHeight="1" x14ac:dyDescent="0.15">
      <c r="F2" s="119" t="s">
        <v>230</v>
      </c>
      <c r="G2" s="119" t="s">
        <v>231</v>
      </c>
      <c r="H2" s="119" t="s">
        <v>232</v>
      </c>
      <c r="N2" s="119" t="s">
        <v>233</v>
      </c>
      <c r="P2" s="169" t="s">
        <v>234</v>
      </c>
      <c r="Q2" s="170" t="s">
        <v>235</v>
      </c>
      <c r="R2" s="169" t="s">
        <v>236</v>
      </c>
      <c r="S2" s="169" t="s">
        <v>237</v>
      </c>
      <c r="T2" s="169" t="s">
        <v>238</v>
      </c>
      <c r="U2" s="169" t="s">
        <v>239</v>
      </c>
      <c r="V2" s="169" t="s">
        <v>240</v>
      </c>
      <c r="W2" s="169" t="s">
        <v>230</v>
      </c>
      <c r="X2" s="169" t="s">
        <v>241</v>
      </c>
      <c r="Y2" s="169" t="s">
        <v>242</v>
      </c>
      <c r="AA2" s="172"/>
      <c r="AB2" s="763" t="s">
        <v>243</v>
      </c>
      <c r="AC2" s="763"/>
      <c r="AD2" s="763" t="s">
        <v>244</v>
      </c>
      <c r="AE2" s="763"/>
      <c r="AG2" s="174" t="s">
        <v>245</v>
      </c>
      <c r="AH2" s="175">
        <v>20370</v>
      </c>
      <c r="AI2" s="174">
        <v>1</v>
      </c>
      <c r="AL2" s="119" t="s">
        <v>246</v>
      </c>
      <c r="AM2" s="119">
        <v>43.3</v>
      </c>
      <c r="AO2" s="119" t="s">
        <v>247</v>
      </c>
    </row>
    <row r="3" spans="1:42" x14ac:dyDescent="0.15">
      <c r="B3" s="119">
        <f t="shared" ref="B3:B68" si="0">B2+1</f>
        <v>1</v>
      </c>
      <c r="C3" s="126" t="s">
        <v>248</v>
      </c>
      <c r="D3" s="119" t="s">
        <v>249</v>
      </c>
      <c r="I3" s="171"/>
      <c r="N3" s="168" t="s">
        <v>92</v>
      </c>
      <c r="P3" s="119" t="s">
        <v>250</v>
      </c>
      <c r="Q3" s="176" t="s">
        <v>251</v>
      </c>
      <c r="R3" s="177">
        <v>37845</v>
      </c>
      <c r="S3" s="119" t="s">
        <v>252</v>
      </c>
      <c r="T3" s="119" t="s">
        <v>253</v>
      </c>
      <c r="U3" s="119" t="s">
        <v>254</v>
      </c>
      <c r="V3" s="119" t="s">
        <v>255</v>
      </c>
      <c r="W3" s="119">
        <v>17.7</v>
      </c>
      <c r="X3" s="119">
        <v>20.3</v>
      </c>
      <c r="Y3" s="171">
        <f>1000*AVERAGE(W3:X3)</f>
        <v>19000</v>
      </c>
      <c r="AA3" s="172"/>
      <c r="AB3" s="173" t="s">
        <v>256</v>
      </c>
      <c r="AC3" s="173" t="s">
        <v>257</v>
      </c>
      <c r="AD3" s="173" t="s">
        <v>256</v>
      </c>
      <c r="AE3" s="173" t="s">
        <v>257</v>
      </c>
      <c r="AG3" s="174" t="s">
        <v>258</v>
      </c>
      <c r="AH3" s="175">
        <v>15687</v>
      </c>
      <c r="AI3" s="174">
        <v>1</v>
      </c>
      <c r="AM3" s="119">
        <v>43.6</v>
      </c>
      <c r="AO3" s="119" t="s">
        <v>259</v>
      </c>
    </row>
    <row r="4" spans="1:42" x14ac:dyDescent="0.15">
      <c r="B4" s="119">
        <f t="shared" si="0"/>
        <v>2</v>
      </c>
      <c r="C4" s="178" t="s">
        <v>261</v>
      </c>
      <c r="I4" s="171">
        <f>ROUND(AVERAGE(AM5:AM8)*1000,-2)</f>
        <v>48000</v>
      </c>
      <c r="J4" s="171"/>
      <c r="K4" s="171">
        <f>I4-3300</f>
        <v>44700</v>
      </c>
      <c r="L4" s="242">
        <v>0</v>
      </c>
      <c r="M4" s="263">
        <v>0.81799999999999995</v>
      </c>
      <c r="P4" s="119" t="s">
        <v>262</v>
      </c>
      <c r="Q4" s="168">
        <v>17</v>
      </c>
      <c r="R4" s="119">
        <v>8</v>
      </c>
      <c r="S4" s="119" t="s">
        <v>252</v>
      </c>
      <c r="U4" s="119" t="s">
        <v>254</v>
      </c>
      <c r="V4" s="119" t="s">
        <v>263</v>
      </c>
      <c r="W4" s="119">
        <v>18.7</v>
      </c>
      <c r="Y4" s="171">
        <f t="shared" ref="Y4:Y55" si="1">1000*AVERAGE(W4:X4)</f>
        <v>18700</v>
      </c>
      <c r="AA4" s="119" t="s">
        <v>264</v>
      </c>
      <c r="AB4" s="171">
        <v>8950</v>
      </c>
      <c r="AC4" s="171">
        <v>8150</v>
      </c>
      <c r="AD4" s="171">
        <f t="shared" ref="AD4:AE16" si="2">AB4*1.055*2.2</f>
        <v>20772.95</v>
      </c>
      <c r="AE4" s="171">
        <f t="shared" si="2"/>
        <v>18916.150000000001</v>
      </c>
      <c r="AG4" s="174" t="s">
        <v>265</v>
      </c>
      <c r="AH4" s="175">
        <v>19530</v>
      </c>
      <c r="AI4" s="174">
        <v>1</v>
      </c>
      <c r="AM4" s="119">
        <v>43.1</v>
      </c>
      <c r="AO4" s="119" t="s">
        <v>266</v>
      </c>
    </row>
    <row r="5" spans="1:42" x14ac:dyDescent="0.15">
      <c r="B5" s="119">
        <f t="shared" si="0"/>
        <v>3</v>
      </c>
      <c r="C5" s="178" t="s">
        <v>246</v>
      </c>
      <c r="I5" s="171">
        <f>ROUND(AVERAGE(AM2:AM4)*1000,-2)</f>
        <v>43300</v>
      </c>
      <c r="J5" s="171"/>
      <c r="K5" s="171">
        <f>I5-3600</f>
        <v>39700</v>
      </c>
      <c r="L5" s="242">
        <v>0</v>
      </c>
      <c r="M5" s="263">
        <v>0.84499999999999997</v>
      </c>
      <c r="P5" s="119" t="s">
        <v>268</v>
      </c>
      <c r="Q5" s="168" t="s">
        <v>263</v>
      </c>
      <c r="R5" s="119" t="s">
        <v>263</v>
      </c>
      <c r="S5" s="119" t="s">
        <v>252</v>
      </c>
      <c r="U5" s="119" t="s">
        <v>254</v>
      </c>
      <c r="V5" s="119">
        <v>840</v>
      </c>
      <c r="W5" s="119">
        <v>19.2</v>
      </c>
      <c r="Y5" s="171">
        <f t="shared" si="1"/>
        <v>19200</v>
      </c>
      <c r="AA5" s="119" t="s">
        <v>269</v>
      </c>
      <c r="AB5" s="171"/>
      <c r="AC5" s="171">
        <v>8150</v>
      </c>
      <c r="AD5" s="171">
        <f t="shared" si="2"/>
        <v>0</v>
      </c>
      <c r="AE5" s="171">
        <f t="shared" si="2"/>
        <v>18916.150000000001</v>
      </c>
      <c r="AG5" s="119" t="s">
        <v>270</v>
      </c>
      <c r="AH5" s="171">
        <v>20475</v>
      </c>
      <c r="AI5" s="119">
        <v>1</v>
      </c>
      <c r="AL5" s="119" t="s">
        <v>261</v>
      </c>
      <c r="AM5" s="119">
        <v>49</v>
      </c>
      <c r="AO5" s="119" t="s">
        <v>247</v>
      </c>
    </row>
    <row r="6" spans="1:42" x14ac:dyDescent="0.15">
      <c r="B6" s="119">
        <f t="shared" si="0"/>
        <v>4</v>
      </c>
      <c r="C6" s="178" t="s">
        <v>774</v>
      </c>
      <c r="I6" s="171">
        <v>26800</v>
      </c>
      <c r="J6" s="171"/>
      <c r="K6" s="171">
        <f>I6-2600</f>
        <v>24200</v>
      </c>
      <c r="L6" s="242">
        <v>0</v>
      </c>
      <c r="M6" s="263">
        <f>0.522</f>
        <v>0.52200000000000002</v>
      </c>
      <c r="Y6" s="171"/>
      <c r="AB6" s="171"/>
      <c r="AC6" s="171"/>
      <c r="AD6" s="171"/>
      <c r="AE6" s="171"/>
      <c r="AH6" s="171"/>
      <c r="AM6" s="119">
        <v>47.1</v>
      </c>
      <c r="AO6" s="119" t="s">
        <v>259</v>
      </c>
    </row>
    <row r="7" spans="1:42" x14ac:dyDescent="0.15">
      <c r="B7" s="119">
        <f t="shared" si="0"/>
        <v>5</v>
      </c>
      <c r="C7" s="178" t="s">
        <v>775</v>
      </c>
      <c r="I7" s="171">
        <v>22700</v>
      </c>
      <c r="J7" s="171"/>
      <c r="K7" s="171">
        <v>21100</v>
      </c>
      <c r="L7" s="242">
        <v>0</v>
      </c>
      <c r="M7" s="263">
        <v>0.375</v>
      </c>
      <c r="Y7" s="171"/>
      <c r="AB7" s="171"/>
      <c r="AC7" s="171"/>
      <c r="AD7" s="171"/>
      <c r="AE7" s="171"/>
      <c r="AH7" s="171"/>
      <c r="AM7" s="119">
        <v>45.8</v>
      </c>
      <c r="AO7" s="119" t="s">
        <v>266</v>
      </c>
    </row>
    <row r="8" spans="1:42" x14ac:dyDescent="0.15">
      <c r="B8" s="119">
        <f t="shared" si="0"/>
        <v>6</v>
      </c>
      <c r="C8" s="178" t="s">
        <v>272</v>
      </c>
      <c r="I8" s="171">
        <v>31000</v>
      </c>
      <c r="J8" s="171"/>
      <c r="K8" s="171">
        <f>I8-1200</f>
        <v>29800</v>
      </c>
      <c r="L8" s="242">
        <v>29800</v>
      </c>
      <c r="M8" s="263">
        <v>0.95</v>
      </c>
      <c r="Y8" s="171"/>
      <c r="AB8" s="171"/>
      <c r="AC8" s="171"/>
      <c r="AD8" s="171"/>
      <c r="AE8" s="171"/>
      <c r="AH8" s="171"/>
      <c r="AM8" s="119">
        <v>50.1</v>
      </c>
      <c r="AO8" s="119" t="s">
        <v>277</v>
      </c>
    </row>
    <row r="9" spans="1:42" x14ac:dyDescent="0.15">
      <c r="B9" s="119">
        <f t="shared" si="0"/>
        <v>7</v>
      </c>
      <c r="C9" s="178" t="s">
        <v>274</v>
      </c>
      <c r="I9" s="171">
        <f>ROUND(AVERAGE(AM31:AM36)*1000+(0.05*(75*4.2/1000+2.26)/0.95),-2)</f>
        <v>24700</v>
      </c>
      <c r="J9" s="171"/>
      <c r="K9" s="171">
        <f>I9-1200</f>
        <v>23500</v>
      </c>
      <c r="L9" s="201">
        <v>29500</v>
      </c>
      <c r="M9" s="248">
        <v>0.75</v>
      </c>
      <c r="Y9" s="171"/>
      <c r="AB9" s="171"/>
      <c r="AC9" s="171"/>
      <c r="AD9" s="171"/>
      <c r="AE9" s="171"/>
      <c r="AH9" s="171"/>
      <c r="AL9" s="119" t="s">
        <v>279</v>
      </c>
      <c r="AM9" s="119">
        <v>51.3</v>
      </c>
      <c r="AO9" s="119" t="s">
        <v>247</v>
      </c>
    </row>
    <row r="10" spans="1:42" x14ac:dyDescent="0.15">
      <c r="B10" s="119">
        <f t="shared" si="0"/>
        <v>8</v>
      </c>
      <c r="C10" s="178" t="s">
        <v>276</v>
      </c>
      <c r="I10" s="171">
        <f>ROUND(AVERAGE(AM22:AM27)*1000+(0.07*(75*4.2/1000+2.26)/0.93),-2)</f>
        <v>14700</v>
      </c>
      <c r="J10" s="171"/>
      <c r="K10" s="171">
        <f>I10-1320</f>
        <v>13380</v>
      </c>
      <c r="L10" s="201">
        <v>29500</v>
      </c>
      <c r="M10" s="248">
        <v>0.5</v>
      </c>
      <c r="Y10" s="171"/>
      <c r="AB10" s="171"/>
      <c r="AC10" s="171"/>
      <c r="AD10" s="171"/>
      <c r="AE10" s="171"/>
      <c r="AH10" s="171"/>
    </row>
    <row r="11" spans="1:42" x14ac:dyDescent="0.15">
      <c r="B11" s="119">
        <f t="shared" si="0"/>
        <v>9</v>
      </c>
      <c r="C11" s="178" t="s">
        <v>278</v>
      </c>
      <c r="I11" s="171">
        <f>ROUND(AVERAGE(AM28:AM29)*1000+(0.06*(75*4.2/1000+2.26)/0.94),-2)</f>
        <v>13600</v>
      </c>
      <c r="J11" s="171"/>
      <c r="K11" s="171">
        <f t="shared" ref="K11:K74" si="3">I11-1320</f>
        <v>12280</v>
      </c>
      <c r="L11" s="201">
        <v>29500</v>
      </c>
      <c r="M11" s="248">
        <v>0.5</v>
      </c>
      <c r="Y11" s="171"/>
      <c r="AB11" s="171"/>
      <c r="AC11" s="171"/>
      <c r="AD11" s="171"/>
      <c r="AE11" s="171"/>
      <c r="AH11" s="171"/>
      <c r="AL11" s="119" t="s">
        <v>283</v>
      </c>
      <c r="AM11" s="119">
        <v>17.7</v>
      </c>
      <c r="AO11" s="119" t="s">
        <v>266</v>
      </c>
    </row>
    <row r="12" spans="1:42" x14ac:dyDescent="0.15">
      <c r="B12" s="119">
        <f t="shared" si="0"/>
        <v>10</v>
      </c>
      <c r="C12" s="126" t="s">
        <v>280</v>
      </c>
      <c r="D12" s="119" t="s">
        <v>280</v>
      </c>
      <c r="I12" s="171">
        <v>19734</v>
      </c>
      <c r="K12" s="171">
        <f t="shared" si="3"/>
        <v>18414</v>
      </c>
      <c r="L12" s="201">
        <v>29500</v>
      </c>
      <c r="M12" s="248">
        <v>0.5</v>
      </c>
      <c r="N12" s="119">
        <v>3</v>
      </c>
      <c r="P12" s="119" t="s">
        <v>286</v>
      </c>
      <c r="Q12" s="168">
        <v>19</v>
      </c>
      <c r="R12" s="119">
        <v>20</v>
      </c>
      <c r="S12" s="119" t="s">
        <v>252</v>
      </c>
      <c r="U12" s="119" t="s">
        <v>254</v>
      </c>
      <c r="V12" s="119" t="s">
        <v>263</v>
      </c>
      <c r="W12" s="119">
        <v>21.8</v>
      </c>
      <c r="Y12" s="171">
        <f t="shared" si="1"/>
        <v>21800</v>
      </c>
      <c r="AA12" s="119" t="s">
        <v>287</v>
      </c>
      <c r="AB12" s="171">
        <v>9000</v>
      </c>
      <c r="AC12" s="171">
        <v>8800</v>
      </c>
      <c r="AD12" s="171">
        <f t="shared" si="2"/>
        <v>20889</v>
      </c>
      <c r="AE12" s="171">
        <f t="shared" si="2"/>
        <v>20424.800000000003</v>
      </c>
      <c r="AG12" s="119" t="s">
        <v>288</v>
      </c>
      <c r="AH12" s="171">
        <v>18480</v>
      </c>
      <c r="AI12" s="119">
        <v>1</v>
      </c>
      <c r="AL12" s="119" t="s">
        <v>774</v>
      </c>
      <c r="AM12" s="119">
        <v>26.8</v>
      </c>
      <c r="AO12" s="119" t="s">
        <v>933</v>
      </c>
    </row>
    <row r="13" spans="1:42" x14ac:dyDescent="0.15">
      <c r="B13" s="119">
        <f t="shared" si="0"/>
        <v>11</v>
      </c>
      <c r="C13" s="126" t="s">
        <v>281</v>
      </c>
      <c r="D13" s="119" t="s">
        <v>282</v>
      </c>
      <c r="I13" s="171">
        <v>20817</v>
      </c>
      <c r="J13" s="171"/>
      <c r="K13" s="171">
        <f t="shared" si="3"/>
        <v>19497</v>
      </c>
      <c r="L13" s="201">
        <v>29500</v>
      </c>
      <c r="M13" s="248">
        <v>0.5</v>
      </c>
      <c r="N13" s="119">
        <v>3</v>
      </c>
      <c r="P13" s="119" t="s">
        <v>292</v>
      </c>
      <c r="Q13" s="176" t="s">
        <v>293</v>
      </c>
      <c r="R13" s="177">
        <v>37812</v>
      </c>
      <c r="S13" s="119" t="s">
        <v>252</v>
      </c>
      <c r="T13" s="119" t="s">
        <v>253</v>
      </c>
      <c r="U13" s="119" t="s">
        <v>254</v>
      </c>
      <c r="V13" s="119" t="s">
        <v>294</v>
      </c>
      <c r="W13" s="119">
        <v>16.7</v>
      </c>
      <c r="X13" s="119">
        <v>19.3</v>
      </c>
      <c r="Y13" s="171">
        <f t="shared" si="1"/>
        <v>18000</v>
      </c>
      <c r="AA13" s="119" t="s">
        <v>295</v>
      </c>
      <c r="AB13" s="171">
        <v>7250</v>
      </c>
      <c r="AC13" s="171"/>
      <c r="AD13" s="171">
        <f t="shared" si="2"/>
        <v>16827.25</v>
      </c>
      <c r="AE13" s="171">
        <f t="shared" si="2"/>
        <v>0</v>
      </c>
      <c r="AG13" s="174" t="s">
        <v>296</v>
      </c>
      <c r="AH13" s="175">
        <v>13066.2</v>
      </c>
      <c r="AI13" s="174">
        <v>1</v>
      </c>
      <c r="AL13" s="180"/>
    </row>
    <row r="14" spans="1:42" x14ac:dyDescent="0.15">
      <c r="B14" s="119">
        <f t="shared" si="0"/>
        <v>12</v>
      </c>
      <c r="C14" s="126" t="s">
        <v>284</v>
      </c>
      <c r="D14" s="119" t="s">
        <v>285</v>
      </c>
      <c r="E14" s="119" t="s">
        <v>264</v>
      </c>
      <c r="I14" s="171">
        <f>VLOOKUP(E14,'Calorific values'!AA4:AE26,5)</f>
        <v>18916.150000000001</v>
      </c>
      <c r="J14" s="171"/>
      <c r="K14" s="171">
        <f t="shared" si="3"/>
        <v>17596.150000000001</v>
      </c>
      <c r="L14" s="201">
        <v>29500</v>
      </c>
      <c r="M14" s="248">
        <v>0.5</v>
      </c>
      <c r="N14" s="119">
        <v>2</v>
      </c>
      <c r="P14" s="119" t="s">
        <v>300</v>
      </c>
      <c r="Q14" s="168" t="s">
        <v>301</v>
      </c>
      <c r="R14" s="177">
        <v>37756</v>
      </c>
      <c r="S14" s="119" t="s">
        <v>252</v>
      </c>
      <c r="T14" s="119" t="s">
        <v>253</v>
      </c>
      <c r="U14" s="119" t="s">
        <v>302</v>
      </c>
      <c r="V14" s="119">
        <v>330</v>
      </c>
      <c r="W14" s="119">
        <v>18.100000000000001</v>
      </c>
      <c r="Y14" s="171">
        <f t="shared" si="1"/>
        <v>18100</v>
      </c>
      <c r="AA14" s="119" t="s">
        <v>303</v>
      </c>
      <c r="AB14" s="171">
        <v>9790</v>
      </c>
      <c r="AC14" s="171">
        <v>8890</v>
      </c>
      <c r="AD14" s="171">
        <f t="shared" si="2"/>
        <v>22722.59</v>
      </c>
      <c r="AE14" s="171">
        <f t="shared" si="2"/>
        <v>20633.689999999999</v>
      </c>
      <c r="AG14" s="119" t="s">
        <v>304</v>
      </c>
      <c r="AH14" s="171">
        <v>21840</v>
      </c>
      <c r="AI14" s="119">
        <v>1</v>
      </c>
      <c r="AL14" s="180" t="s">
        <v>227</v>
      </c>
      <c r="AM14" s="119" t="s">
        <v>228</v>
      </c>
      <c r="AO14" s="119" t="s">
        <v>229</v>
      </c>
    </row>
    <row r="15" spans="1:42" x14ac:dyDescent="0.15">
      <c r="B15" s="119">
        <f t="shared" si="0"/>
        <v>13</v>
      </c>
      <c r="C15" s="126" t="s">
        <v>289</v>
      </c>
      <c r="D15" s="119" t="s">
        <v>290</v>
      </c>
      <c r="E15" s="119" t="s">
        <v>291</v>
      </c>
      <c r="F15" s="119">
        <v>4800</v>
      </c>
      <c r="G15" s="119">
        <v>4900</v>
      </c>
      <c r="H15" s="179">
        <f>AVERAGE(F15,G15)</f>
        <v>4850</v>
      </c>
      <c r="I15" s="171">
        <f>H15*4.2</f>
        <v>20370</v>
      </c>
      <c r="J15" s="171"/>
      <c r="K15" s="171">
        <f t="shared" si="3"/>
        <v>19050</v>
      </c>
      <c r="L15" s="201">
        <v>29500</v>
      </c>
      <c r="M15" s="248">
        <v>0.5</v>
      </c>
      <c r="N15" s="119">
        <v>1</v>
      </c>
      <c r="P15" s="119" t="s">
        <v>308</v>
      </c>
      <c r="Q15" s="168">
        <v>5</v>
      </c>
      <c r="R15" s="177">
        <v>37909</v>
      </c>
      <c r="S15" s="119" t="s">
        <v>252</v>
      </c>
      <c r="T15" s="119" t="s">
        <v>253</v>
      </c>
      <c r="U15" s="119" t="s">
        <v>309</v>
      </c>
      <c r="V15" s="119" t="s">
        <v>310</v>
      </c>
      <c r="W15" s="119">
        <v>21.8</v>
      </c>
      <c r="Y15" s="171">
        <f t="shared" si="1"/>
        <v>21800</v>
      </c>
      <c r="AA15" s="119" t="s">
        <v>311</v>
      </c>
      <c r="AB15" s="171">
        <v>8870</v>
      </c>
      <c r="AC15" s="171">
        <v>8410</v>
      </c>
      <c r="AD15" s="171">
        <f t="shared" si="2"/>
        <v>20587.269999999997</v>
      </c>
      <c r="AE15" s="171">
        <f t="shared" si="2"/>
        <v>19519.61</v>
      </c>
      <c r="AG15" s="119" t="s">
        <v>312</v>
      </c>
      <c r="AH15" s="171">
        <v>19320</v>
      </c>
      <c r="AI15" s="119">
        <v>1</v>
      </c>
      <c r="AL15" s="180" t="s">
        <v>272</v>
      </c>
      <c r="AM15" s="119">
        <v>25.7</v>
      </c>
      <c r="AN15" s="119" t="s">
        <v>313</v>
      </c>
      <c r="AO15" s="119" t="s">
        <v>266</v>
      </c>
      <c r="AP15" s="266"/>
    </row>
    <row r="16" spans="1:42" x14ac:dyDescent="0.15">
      <c r="B16" s="119">
        <f t="shared" si="0"/>
        <v>14</v>
      </c>
      <c r="C16" s="126" t="s">
        <v>297</v>
      </c>
      <c r="D16" s="119" t="s">
        <v>298</v>
      </c>
      <c r="E16" s="119" t="s">
        <v>299</v>
      </c>
      <c r="H16" s="179"/>
      <c r="I16" s="171">
        <v>18700</v>
      </c>
      <c r="J16" s="171"/>
      <c r="K16" s="171">
        <f t="shared" si="3"/>
        <v>17380</v>
      </c>
      <c r="L16" s="201">
        <v>29500</v>
      </c>
      <c r="M16" s="248">
        <v>0.5</v>
      </c>
      <c r="N16" s="119">
        <v>4</v>
      </c>
      <c r="P16" s="119" t="s">
        <v>317</v>
      </c>
      <c r="Q16" s="168" t="s">
        <v>263</v>
      </c>
      <c r="R16" s="119" t="s">
        <v>263</v>
      </c>
      <c r="S16" s="119" t="s">
        <v>252</v>
      </c>
      <c r="T16" s="119" t="s">
        <v>253</v>
      </c>
      <c r="U16" s="119" t="s">
        <v>309</v>
      </c>
      <c r="V16" s="119">
        <v>660</v>
      </c>
      <c r="W16" s="119">
        <v>19.7</v>
      </c>
      <c r="Y16" s="171">
        <f t="shared" si="1"/>
        <v>19700</v>
      </c>
      <c r="AA16" s="119" t="s">
        <v>318</v>
      </c>
      <c r="AB16" s="171"/>
      <c r="AC16" s="171">
        <v>8170</v>
      </c>
      <c r="AD16" s="171">
        <f t="shared" si="2"/>
        <v>0</v>
      </c>
      <c r="AE16" s="171">
        <f t="shared" si="2"/>
        <v>18962.570000000003</v>
      </c>
      <c r="AG16" s="119" t="s">
        <v>319</v>
      </c>
      <c r="AH16" s="171">
        <v>20580</v>
      </c>
      <c r="AI16" s="119">
        <v>1</v>
      </c>
      <c r="AL16" s="180"/>
      <c r="AM16" s="119">
        <v>27.6</v>
      </c>
      <c r="AN16" s="119" t="s">
        <v>320</v>
      </c>
      <c r="AO16" s="119" t="s">
        <v>321</v>
      </c>
    </row>
    <row r="17" spans="2:41" x14ac:dyDescent="0.15">
      <c r="B17" s="119">
        <f t="shared" si="0"/>
        <v>15</v>
      </c>
      <c r="C17" s="126" t="s">
        <v>305</v>
      </c>
      <c r="D17" s="119" t="s">
        <v>306</v>
      </c>
      <c r="E17" s="119" t="s">
        <v>307</v>
      </c>
      <c r="I17" s="171">
        <v>19200</v>
      </c>
      <c r="K17" s="171">
        <f t="shared" si="3"/>
        <v>17880</v>
      </c>
      <c r="L17" s="201">
        <v>29500</v>
      </c>
      <c r="M17" s="248">
        <v>0.5</v>
      </c>
      <c r="N17" s="119">
        <v>4</v>
      </c>
      <c r="P17" s="119" t="s">
        <v>325</v>
      </c>
      <c r="Q17" s="176" t="s">
        <v>251</v>
      </c>
      <c r="R17" s="119" t="s">
        <v>326</v>
      </c>
      <c r="S17" s="119" t="s">
        <v>252</v>
      </c>
      <c r="T17" s="119" t="s">
        <v>253</v>
      </c>
      <c r="U17" s="119" t="s">
        <v>327</v>
      </c>
      <c r="V17" s="119" t="s">
        <v>328</v>
      </c>
      <c r="W17" s="119">
        <v>16</v>
      </c>
      <c r="X17" s="119">
        <v>18.3</v>
      </c>
      <c r="Y17" s="171">
        <f t="shared" si="1"/>
        <v>17150</v>
      </c>
      <c r="AA17" s="119" t="s">
        <v>329</v>
      </c>
      <c r="AB17" s="171"/>
      <c r="AC17" s="171">
        <v>9110</v>
      </c>
      <c r="AD17" s="171"/>
      <c r="AE17" s="171">
        <f t="shared" ref="AE17:AE26" si="4">AC17*1.055*2.2</f>
        <v>21144.31</v>
      </c>
      <c r="AG17" s="119" t="s">
        <v>330</v>
      </c>
      <c r="AH17" s="171">
        <v>19320</v>
      </c>
      <c r="AI17" s="119">
        <v>1</v>
      </c>
      <c r="AL17" s="180"/>
      <c r="AM17" s="119">
        <v>29.2</v>
      </c>
      <c r="AN17" s="119" t="s">
        <v>320</v>
      </c>
      <c r="AO17" s="119" t="s">
        <v>321</v>
      </c>
    </row>
    <row r="18" spans="2:41" x14ac:dyDescent="0.15">
      <c r="B18" s="119">
        <f t="shared" si="0"/>
        <v>16</v>
      </c>
      <c r="C18" s="126" t="s">
        <v>314</v>
      </c>
      <c r="D18" s="119" t="s">
        <v>315</v>
      </c>
      <c r="E18" s="119" t="s">
        <v>316</v>
      </c>
      <c r="I18" s="171">
        <v>21800</v>
      </c>
      <c r="K18" s="171">
        <f t="shared" si="3"/>
        <v>20480</v>
      </c>
      <c r="L18" s="201">
        <v>29500</v>
      </c>
      <c r="M18" s="248">
        <v>0.5</v>
      </c>
      <c r="N18" s="119">
        <v>4</v>
      </c>
      <c r="P18" s="119" t="s">
        <v>334</v>
      </c>
      <c r="Q18" s="168" t="s">
        <v>263</v>
      </c>
      <c r="R18" s="119" t="s">
        <v>263</v>
      </c>
      <c r="S18" s="119" t="s">
        <v>335</v>
      </c>
      <c r="T18" s="119" t="s">
        <v>336</v>
      </c>
      <c r="U18" s="119" t="s">
        <v>337</v>
      </c>
      <c r="V18" s="119">
        <v>560</v>
      </c>
      <c r="W18" s="119">
        <v>19.2</v>
      </c>
      <c r="Y18" s="171">
        <f t="shared" si="1"/>
        <v>19200</v>
      </c>
      <c r="AA18" s="119" t="s">
        <v>338</v>
      </c>
      <c r="AB18" s="171"/>
      <c r="AC18" s="171">
        <v>8050</v>
      </c>
      <c r="AD18" s="171">
        <f t="shared" ref="AD18:AD26" si="5">AB18*1.055*2.2</f>
        <v>0</v>
      </c>
      <c r="AE18" s="171">
        <f t="shared" si="4"/>
        <v>18684.050000000003</v>
      </c>
      <c r="AG18" s="174" t="s">
        <v>339</v>
      </c>
      <c r="AH18" s="175">
        <v>19425</v>
      </c>
      <c r="AI18" s="174">
        <v>1</v>
      </c>
      <c r="AL18" s="180"/>
      <c r="AM18" s="119">
        <v>30</v>
      </c>
      <c r="AN18" s="119" t="s">
        <v>320</v>
      </c>
      <c r="AO18" s="119" t="s">
        <v>321</v>
      </c>
    </row>
    <row r="19" spans="2:41" x14ac:dyDescent="0.15">
      <c r="B19" s="119">
        <f t="shared" si="0"/>
        <v>17</v>
      </c>
      <c r="C19" s="126" t="s">
        <v>322</v>
      </c>
      <c r="D19" s="119" t="s">
        <v>323</v>
      </c>
      <c r="E19" s="119" t="s">
        <v>324</v>
      </c>
      <c r="F19" s="119">
        <v>4650</v>
      </c>
      <c r="H19" s="179">
        <f>AVERAGE(F19,G19)</f>
        <v>4650</v>
      </c>
      <c r="I19" s="171">
        <f>H19*4.2</f>
        <v>19530</v>
      </c>
      <c r="J19" s="171"/>
      <c r="K19" s="171">
        <f t="shared" si="3"/>
        <v>18210</v>
      </c>
      <c r="L19" s="201">
        <v>29500</v>
      </c>
      <c r="M19" s="248">
        <v>0.5</v>
      </c>
      <c r="N19" s="119">
        <v>1</v>
      </c>
      <c r="P19" s="119" t="s">
        <v>343</v>
      </c>
      <c r="Q19" s="168">
        <v>15</v>
      </c>
      <c r="R19" s="119">
        <v>9</v>
      </c>
      <c r="S19" s="119" t="s">
        <v>335</v>
      </c>
      <c r="T19" s="119" t="s">
        <v>336</v>
      </c>
      <c r="U19" s="119" t="s">
        <v>337</v>
      </c>
      <c r="V19" s="119">
        <v>330</v>
      </c>
      <c r="W19" s="119">
        <v>18.899999999999999</v>
      </c>
      <c r="X19" s="119">
        <v>19.8</v>
      </c>
      <c r="Y19" s="171">
        <f t="shared" si="1"/>
        <v>19350</v>
      </c>
      <c r="AA19" s="119" t="s">
        <v>344</v>
      </c>
      <c r="AB19" s="171">
        <v>8410</v>
      </c>
      <c r="AC19" s="171">
        <v>7990</v>
      </c>
      <c r="AD19" s="171">
        <f t="shared" si="5"/>
        <v>19519.61</v>
      </c>
      <c r="AE19" s="171">
        <f t="shared" si="4"/>
        <v>18544.79</v>
      </c>
      <c r="AG19" s="174" t="s">
        <v>345</v>
      </c>
      <c r="AH19" s="175">
        <v>20790</v>
      </c>
      <c r="AI19" s="174">
        <v>1</v>
      </c>
      <c r="AL19" s="180"/>
      <c r="AM19" s="119">
        <v>30.7</v>
      </c>
      <c r="AN19" s="119" t="s">
        <v>320</v>
      </c>
      <c r="AO19" s="119" t="s">
        <v>321</v>
      </c>
    </row>
    <row r="20" spans="2:41" x14ac:dyDescent="0.15">
      <c r="B20" s="119">
        <f t="shared" si="0"/>
        <v>18</v>
      </c>
      <c r="C20" s="126" t="s">
        <v>331</v>
      </c>
      <c r="D20" s="119" t="s">
        <v>332</v>
      </c>
      <c r="E20" s="119" t="s">
        <v>333</v>
      </c>
      <c r="F20" s="119">
        <v>4800</v>
      </c>
      <c r="G20" s="119">
        <v>4950</v>
      </c>
      <c r="H20" s="179">
        <f>AVERAGE(F20,G20)</f>
        <v>4875</v>
      </c>
      <c r="I20" s="171">
        <f>H20*4.2</f>
        <v>20475</v>
      </c>
      <c r="K20" s="171">
        <f t="shared" si="3"/>
        <v>19155</v>
      </c>
      <c r="L20" s="201">
        <v>29500</v>
      </c>
      <c r="M20" s="248">
        <v>0.5</v>
      </c>
      <c r="N20" s="119">
        <v>1</v>
      </c>
      <c r="P20" s="119" t="s">
        <v>350</v>
      </c>
      <c r="Q20" s="168" t="s">
        <v>263</v>
      </c>
      <c r="R20" s="119" t="s">
        <v>263</v>
      </c>
      <c r="V20" s="119">
        <v>600</v>
      </c>
      <c r="W20" s="119">
        <v>19.100000000000001</v>
      </c>
      <c r="Y20" s="171">
        <f t="shared" si="1"/>
        <v>19100</v>
      </c>
      <c r="AA20" s="119" t="s">
        <v>348</v>
      </c>
      <c r="AB20" s="171"/>
      <c r="AC20" s="171">
        <v>7990</v>
      </c>
      <c r="AD20" s="171">
        <f t="shared" si="5"/>
        <v>0</v>
      </c>
      <c r="AE20" s="171">
        <f t="shared" si="4"/>
        <v>18544.79</v>
      </c>
      <c r="AG20" s="174" t="s">
        <v>351</v>
      </c>
      <c r="AH20" s="175">
        <v>21210</v>
      </c>
      <c r="AI20" s="174">
        <v>1</v>
      </c>
      <c r="AL20" s="180"/>
      <c r="AM20" s="119">
        <v>31.1</v>
      </c>
      <c r="AN20" s="119" t="s">
        <v>320</v>
      </c>
      <c r="AO20" s="119" t="s">
        <v>321</v>
      </c>
    </row>
    <row r="21" spans="2:41" x14ac:dyDescent="0.15">
      <c r="B21" s="119">
        <f t="shared" si="0"/>
        <v>19</v>
      </c>
      <c r="C21" s="126" t="s">
        <v>340</v>
      </c>
      <c r="D21" s="119" t="s">
        <v>341</v>
      </c>
      <c r="E21" s="119" t="s">
        <v>342</v>
      </c>
      <c r="F21" s="119">
        <v>4400</v>
      </c>
      <c r="H21" s="179">
        <f>AVERAGE(F21,G21)</f>
        <v>4400</v>
      </c>
      <c r="I21" s="171">
        <f>H21*4.2</f>
        <v>18480</v>
      </c>
      <c r="J21" s="171"/>
      <c r="K21" s="171">
        <f t="shared" si="3"/>
        <v>17160</v>
      </c>
      <c r="L21" s="201">
        <v>29500</v>
      </c>
      <c r="M21" s="248">
        <v>0.5</v>
      </c>
      <c r="N21" s="119">
        <v>1</v>
      </c>
      <c r="P21" s="119" t="s">
        <v>355</v>
      </c>
      <c r="Q21" s="168" t="s">
        <v>263</v>
      </c>
      <c r="R21" s="119" t="s">
        <v>263</v>
      </c>
      <c r="S21" s="119" t="s">
        <v>335</v>
      </c>
      <c r="T21" s="119" t="s">
        <v>263</v>
      </c>
      <c r="U21" s="119" t="s">
        <v>254</v>
      </c>
      <c r="V21" s="119" t="s">
        <v>356</v>
      </c>
      <c r="W21" s="119">
        <v>18.5</v>
      </c>
      <c r="Y21" s="171">
        <f t="shared" si="1"/>
        <v>18500</v>
      </c>
      <c r="AA21" s="119" t="s">
        <v>357</v>
      </c>
      <c r="AB21" s="171"/>
      <c r="AC21" s="171">
        <v>8050</v>
      </c>
      <c r="AD21" s="171">
        <f t="shared" si="5"/>
        <v>0</v>
      </c>
      <c r="AE21" s="171">
        <f t="shared" si="4"/>
        <v>18684.050000000003</v>
      </c>
      <c r="AG21" s="174" t="s">
        <v>358</v>
      </c>
      <c r="AH21" s="175">
        <v>19320</v>
      </c>
      <c r="AI21" s="174">
        <v>1</v>
      </c>
      <c r="AL21" s="180"/>
      <c r="AM21" s="119">
        <v>31.5</v>
      </c>
      <c r="AN21" s="119" t="s">
        <v>320</v>
      </c>
      <c r="AO21" s="119" t="s">
        <v>321</v>
      </c>
    </row>
    <row r="22" spans="2:41" x14ac:dyDescent="0.15">
      <c r="B22" s="119">
        <f t="shared" si="0"/>
        <v>20</v>
      </c>
      <c r="C22" s="126" t="s">
        <v>346</v>
      </c>
      <c r="D22" s="119" t="s">
        <v>347</v>
      </c>
      <c r="E22" s="119" t="s">
        <v>348</v>
      </c>
      <c r="I22" s="171">
        <f>VLOOKUP(E22,'Calorific values'!AA$4:AE$26,5)</f>
        <v>18544.79</v>
      </c>
      <c r="J22" s="171" t="s">
        <v>349</v>
      </c>
      <c r="K22" s="171">
        <f t="shared" si="3"/>
        <v>17224.79</v>
      </c>
      <c r="L22" s="201">
        <v>29500</v>
      </c>
      <c r="M22" s="248">
        <v>0.5</v>
      </c>
      <c r="N22" s="119">
        <v>2</v>
      </c>
      <c r="P22" s="119" t="s">
        <v>362</v>
      </c>
      <c r="Q22" s="176" t="s">
        <v>363</v>
      </c>
      <c r="R22" s="119">
        <v>30</v>
      </c>
      <c r="S22" s="119" t="s">
        <v>335</v>
      </c>
      <c r="T22" s="119" t="s">
        <v>263</v>
      </c>
      <c r="U22" s="119" t="s">
        <v>309</v>
      </c>
      <c r="V22" s="119" t="s">
        <v>364</v>
      </c>
      <c r="W22" s="119">
        <v>20.399999999999999</v>
      </c>
      <c r="Y22" s="171">
        <f t="shared" si="1"/>
        <v>20400</v>
      </c>
      <c r="AA22" s="119" t="s">
        <v>365</v>
      </c>
      <c r="AB22" s="171"/>
      <c r="AC22" s="171">
        <v>8600</v>
      </c>
      <c r="AD22" s="171">
        <f t="shared" si="5"/>
        <v>0</v>
      </c>
      <c r="AE22" s="171">
        <f t="shared" si="4"/>
        <v>19960.600000000002</v>
      </c>
      <c r="AG22" s="119" t="s">
        <v>366</v>
      </c>
      <c r="AH22" s="171">
        <v>21840</v>
      </c>
      <c r="AI22" s="119">
        <v>1</v>
      </c>
      <c r="AL22" s="180" t="s">
        <v>367</v>
      </c>
      <c r="AM22" s="119">
        <v>16.100000000000001</v>
      </c>
      <c r="AN22" s="119" t="s">
        <v>368</v>
      </c>
      <c r="AO22" s="119" t="s">
        <v>247</v>
      </c>
    </row>
    <row r="23" spans="2:41" x14ac:dyDescent="0.15">
      <c r="B23" s="119">
        <f t="shared" si="0"/>
        <v>21</v>
      </c>
      <c r="C23" s="126" t="s">
        <v>352</v>
      </c>
      <c r="D23" s="119" t="s">
        <v>353</v>
      </c>
      <c r="E23" s="119" t="s">
        <v>354</v>
      </c>
      <c r="H23" s="179"/>
      <c r="I23" s="171">
        <v>18100</v>
      </c>
      <c r="J23" s="171"/>
      <c r="K23" s="171">
        <f t="shared" si="3"/>
        <v>16780</v>
      </c>
      <c r="L23" s="201">
        <v>29500</v>
      </c>
      <c r="M23" s="248">
        <v>0.5</v>
      </c>
      <c r="N23" s="119">
        <v>4</v>
      </c>
      <c r="P23" s="119" t="s">
        <v>372</v>
      </c>
      <c r="Q23" s="176" t="s">
        <v>373</v>
      </c>
      <c r="R23" s="119">
        <v>30</v>
      </c>
      <c r="S23" s="119" t="s">
        <v>335</v>
      </c>
      <c r="T23" s="119" t="s">
        <v>263</v>
      </c>
      <c r="U23" s="119" t="s">
        <v>254</v>
      </c>
      <c r="V23" s="119" t="s">
        <v>364</v>
      </c>
      <c r="W23" s="119">
        <v>18.7</v>
      </c>
      <c r="Y23" s="171">
        <f t="shared" si="1"/>
        <v>18700</v>
      </c>
      <c r="AA23" s="119" t="s">
        <v>374</v>
      </c>
      <c r="AB23" s="171"/>
      <c r="AC23" s="171">
        <v>7990</v>
      </c>
      <c r="AD23" s="171">
        <f t="shared" si="5"/>
        <v>0</v>
      </c>
      <c r="AE23" s="171">
        <f t="shared" si="4"/>
        <v>18544.79</v>
      </c>
      <c r="AG23" s="174" t="s">
        <v>375</v>
      </c>
      <c r="AH23" s="175">
        <v>20160</v>
      </c>
      <c r="AI23" s="174">
        <v>1</v>
      </c>
      <c r="AL23" s="180"/>
      <c r="AM23" s="119">
        <v>15.4</v>
      </c>
      <c r="AN23" s="119" t="s">
        <v>376</v>
      </c>
      <c r="AO23" s="119" t="s">
        <v>377</v>
      </c>
    </row>
    <row r="24" spans="2:41" x14ac:dyDescent="0.15">
      <c r="B24" s="119">
        <f t="shared" si="0"/>
        <v>22</v>
      </c>
      <c r="C24" s="126" t="s">
        <v>359</v>
      </c>
      <c r="D24" s="119" t="s">
        <v>360</v>
      </c>
      <c r="E24" s="119" t="s">
        <v>361</v>
      </c>
      <c r="F24" s="119">
        <v>5200</v>
      </c>
      <c r="H24" s="179">
        <f>AVERAGE(F24,G24)</f>
        <v>5200</v>
      </c>
      <c r="I24" s="171">
        <f>H24*4.2</f>
        <v>21840</v>
      </c>
      <c r="K24" s="171">
        <f t="shared" si="3"/>
        <v>20520</v>
      </c>
      <c r="L24" s="201">
        <v>29500</v>
      </c>
      <c r="M24" s="248">
        <v>0.5</v>
      </c>
      <c r="N24" s="119">
        <v>1</v>
      </c>
      <c r="P24" s="119" t="s">
        <v>381</v>
      </c>
      <c r="Q24" s="176" t="s">
        <v>363</v>
      </c>
      <c r="R24" s="119">
        <v>30</v>
      </c>
      <c r="S24" s="119" t="s">
        <v>335</v>
      </c>
      <c r="T24" s="119" t="s">
        <v>263</v>
      </c>
      <c r="U24" s="119" t="s">
        <v>254</v>
      </c>
      <c r="V24" s="119">
        <v>810</v>
      </c>
      <c r="W24" s="119">
        <v>19.399999999999999</v>
      </c>
      <c r="Y24" s="171">
        <f t="shared" si="1"/>
        <v>19400</v>
      </c>
      <c r="AA24" s="119" t="s">
        <v>382</v>
      </c>
      <c r="AB24" s="171">
        <v>9400</v>
      </c>
      <c r="AC24" s="171">
        <v>8410</v>
      </c>
      <c r="AD24" s="171">
        <f t="shared" si="5"/>
        <v>21817.4</v>
      </c>
      <c r="AE24" s="171">
        <f t="shared" si="4"/>
        <v>19519.61</v>
      </c>
      <c r="AG24" s="174" t="s">
        <v>383</v>
      </c>
      <c r="AH24" s="175">
        <v>20160</v>
      </c>
      <c r="AI24" s="174">
        <v>1</v>
      </c>
      <c r="AL24" s="180" t="s">
        <v>384</v>
      </c>
      <c r="AM24" s="119">
        <v>14</v>
      </c>
      <c r="AN24" s="119" t="s">
        <v>385</v>
      </c>
      <c r="AO24" s="119" t="s">
        <v>247</v>
      </c>
    </row>
    <row r="25" spans="2:41" ht="15" x14ac:dyDescent="0.15">
      <c r="B25" s="119">
        <f t="shared" si="0"/>
        <v>23</v>
      </c>
      <c r="C25" s="126" t="s">
        <v>369</v>
      </c>
      <c r="D25" s="119" t="s">
        <v>370</v>
      </c>
      <c r="E25" s="119" t="s">
        <v>371</v>
      </c>
      <c r="I25" s="171">
        <v>19700</v>
      </c>
      <c r="K25" s="171">
        <f t="shared" si="3"/>
        <v>18380</v>
      </c>
      <c r="L25" s="201">
        <v>29500</v>
      </c>
      <c r="M25" s="248">
        <v>0.5</v>
      </c>
      <c r="N25" s="119">
        <v>4</v>
      </c>
      <c r="P25" s="119" t="s">
        <v>388</v>
      </c>
      <c r="Q25" s="168" t="s">
        <v>389</v>
      </c>
      <c r="R25" s="119">
        <v>1</v>
      </c>
      <c r="S25" s="119" t="s">
        <v>252</v>
      </c>
      <c r="T25" s="119" t="s">
        <v>253</v>
      </c>
      <c r="U25" s="119" t="s">
        <v>390</v>
      </c>
      <c r="V25" s="119" t="s">
        <v>391</v>
      </c>
      <c r="W25" s="119">
        <v>18.899999999999999</v>
      </c>
      <c r="X25" s="119">
        <v>19.899999999999999</v>
      </c>
      <c r="Y25" s="171">
        <f t="shared" si="1"/>
        <v>19400</v>
      </c>
      <c r="AA25" s="119" t="s">
        <v>392</v>
      </c>
      <c r="AB25" s="171">
        <v>8790</v>
      </c>
      <c r="AC25" s="171">
        <v>9700</v>
      </c>
      <c r="AD25" s="171">
        <f t="shared" si="5"/>
        <v>20401.59</v>
      </c>
      <c r="AE25" s="171">
        <f t="shared" si="4"/>
        <v>22513.7</v>
      </c>
      <c r="AG25" s="119" t="s">
        <v>393</v>
      </c>
      <c r="AH25" s="171">
        <v>20580</v>
      </c>
      <c r="AI25" s="119">
        <v>1</v>
      </c>
      <c r="AM25" s="119">
        <v>15.4</v>
      </c>
      <c r="AN25" s="119" t="s">
        <v>376</v>
      </c>
      <c r="AO25" s="119" t="s">
        <v>377</v>
      </c>
    </row>
    <row r="26" spans="2:41" x14ac:dyDescent="0.15">
      <c r="B26" s="119">
        <f t="shared" si="0"/>
        <v>24</v>
      </c>
      <c r="C26" s="126" t="s">
        <v>378</v>
      </c>
      <c r="D26" s="119" t="s">
        <v>379</v>
      </c>
      <c r="E26" s="119" t="s">
        <v>380</v>
      </c>
      <c r="I26" s="171">
        <v>17150</v>
      </c>
      <c r="K26" s="171">
        <f t="shared" si="3"/>
        <v>15830</v>
      </c>
      <c r="L26" s="201">
        <v>29500</v>
      </c>
      <c r="M26" s="248">
        <v>0.5</v>
      </c>
      <c r="N26" s="119">
        <v>4</v>
      </c>
      <c r="P26" s="119" t="s">
        <v>394</v>
      </c>
      <c r="Q26" s="168" t="s">
        <v>263</v>
      </c>
      <c r="R26" s="119" t="s">
        <v>263</v>
      </c>
      <c r="S26" s="119" t="s">
        <v>252</v>
      </c>
      <c r="T26" s="119" t="s">
        <v>336</v>
      </c>
      <c r="U26" s="119" t="s">
        <v>309</v>
      </c>
      <c r="V26" s="119">
        <v>520</v>
      </c>
      <c r="W26" s="119">
        <v>18.399999999999999</v>
      </c>
      <c r="Y26" s="171">
        <f t="shared" si="1"/>
        <v>18400</v>
      </c>
      <c r="AA26" s="119" t="s">
        <v>395</v>
      </c>
      <c r="AB26" s="171">
        <v>7070</v>
      </c>
      <c r="AC26" s="171">
        <v>8150</v>
      </c>
      <c r="AD26" s="171">
        <f t="shared" si="5"/>
        <v>16409.47</v>
      </c>
      <c r="AE26" s="171">
        <f t="shared" si="4"/>
        <v>18916.150000000001</v>
      </c>
      <c r="AG26" s="119" t="s">
        <v>396</v>
      </c>
      <c r="AH26" s="171">
        <v>20160</v>
      </c>
      <c r="AI26" s="119">
        <v>1</v>
      </c>
      <c r="AL26" s="119" t="s">
        <v>397</v>
      </c>
      <c r="AM26" s="119">
        <v>13</v>
      </c>
      <c r="AN26" s="119" t="s">
        <v>398</v>
      </c>
      <c r="AO26" s="119" t="s">
        <v>266</v>
      </c>
    </row>
    <row r="27" spans="2:41" x14ac:dyDescent="0.15">
      <c r="B27" s="119">
        <f t="shared" si="0"/>
        <v>25</v>
      </c>
      <c r="C27" s="126" t="s">
        <v>386</v>
      </c>
      <c r="D27" s="119" t="s">
        <v>387</v>
      </c>
      <c r="E27" s="119" t="s">
        <v>344</v>
      </c>
      <c r="F27" s="119">
        <v>4600</v>
      </c>
      <c r="H27" s="179">
        <f>AVERAGE(F27,G27)</f>
        <v>4600</v>
      </c>
      <c r="I27" s="171">
        <f>H27*4.2</f>
        <v>19320</v>
      </c>
      <c r="J27" s="171"/>
      <c r="K27" s="171">
        <f t="shared" si="3"/>
        <v>18000</v>
      </c>
      <c r="L27" s="201">
        <v>29500</v>
      </c>
      <c r="M27" s="248">
        <v>0.5</v>
      </c>
      <c r="N27" s="119">
        <v>1</v>
      </c>
      <c r="P27" s="119" t="s">
        <v>402</v>
      </c>
      <c r="Q27" s="176" t="s">
        <v>403</v>
      </c>
      <c r="R27" s="177">
        <v>37751</v>
      </c>
      <c r="S27" s="119" t="s">
        <v>252</v>
      </c>
      <c r="T27" s="119" t="s">
        <v>336</v>
      </c>
      <c r="U27" s="119" t="s">
        <v>390</v>
      </c>
      <c r="V27" s="119" t="s">
        <v>255</v>
      </c>
      <c r="W27" s="119">
        <v>18.8</v>
      </c>
      <c r="Y27" s="171">
        <f t="shared" si="1"/>
        <v>18800</v>
      </c>
      <c r="AG27" s="174" t="s">
        <v>404</v>
      </c>
      <c r="AH27" s="175">
        <v>18480</v>
      </c>
      <c r="AI27" s="174">
        <v>1</v>
      </c>
      <c r="AM27" s="119">
        <v>14.2</v>
      </c>
      <c r="AN27" s="119" t="s">
        <v>376</v>
      </c>
      <c r="AO27" s="119" t="s">
        <v>377</v>
      </c>
    </row>
    <row r="28" spans="2:41" x14ac:dyDescent="0.15">
      <c r="B28" s="119">
        <f t="shared" si="0"/>
        <v>26</v>
      </c>
      <c r="C28" s="126" t="s">
        <v>386</v>
      </c>
      <c r="D28" s="119" t="s">
        <v>387</v>
      </c>
      <c r="E28" s="119" t="s">
        <v>344</v>
      </c>
      <c r="I28" s="171">
        <f>VLOOKUP(E28,'Calorific values'!AA$4:AE$26,5)</f>
        <v>18544.79</v>
      </c>
      <c r="J28" s="171"/>
      <c r="K28" s="171">
        <f t="shared" si="3"/>
        <v>17224.79</v>
      </c>
      <c r="L28" s="201">
        <v>29500</v>
      </c>
      <c r="M28" s="248">
        <v>0.5</v>
      </c>
      <c r="N28" s="119">
        <v>2</v>
      </c>
      <c r="P28" s="119" t="s">
        <v>408</v>
      </c>
      <c r="Q28" s="176" t="s">
        <v>409</v>
      </c>
      <c r="R28" s="177">
        <v>37812</v>
      </c>
      <c r="S28" s="119" t="s">
        <v>335</v>
      </c>
      <c r="T28" s="119" t="s">
        <v>253</v>
      </c>
      <c r="U28" s="119" t="s">
        <v>309</v>
      </c>
      <c r="V28" s="119" t="s">
        <v>410</v>
      </c>
      <c r="W28" s="119">
        <v>19</v>
      </c>
      <c r="X28" s="119">
        <v>21.1</v>
      </c>
      <c r="Y28" s="171">
        <f t="shared" si="1"/>
        <v>20050</v>
      </c>
      <c r="AG28" s="119" t="s">
        <v>411</v>
      </c>
      <c r="AH28" s="171">
        <v>21459.9</v>
      </c>
      <c r="AI28" s="119">
        <v>1</v>
      </c>
      <c r="AL28" s="119" t="s">
        <v>278</v>
      </c>
      <c r="AM28" s="119">
        <v>11.8</v>
      </c>
      <c r="AN28" s="119" t="s">
        <v>412</v>
      </c>
      <c r="AO28" s="119" t="s">
        <v>266</v>
      </c>
    </row>
    <row r="29" spans="2:41" x14ac:dyDescent="0.15">
      <c r="B29" s="119">
        <f t="shared" si="0"/>
        <v>27</v>
      </c>
      <c r="C29" s="126" t="s">
        <v>399</v>
      </c>
      <c r="D29" s="119" t="s">
        <v>400</v>
      </c>
      <c r="E29" s="119" t="s">
        <v>401</v>
      </c>
      <c r="I29" s="171">
        <v>19200</v>
      </c>
      <c r="K29" s="171">
        <f t="shared" si="3"/>
        <v>17880</v>
      </c>
      <c r="L29" s="201">
        <v>29500</v>
      </c>
      <c r="M29" s="248">
        <v>0.5</v>
      </c>
      <c r="N29" s="119">
        <v>4</v>
      </c>
      <c r="P29" s="119" t="s">
        <v>416</v>
      </c>
      <c r="Q29" s="168" t="s">
        <v>263</v>
      </c>
      <c r="R29" s="119" t="s">
        <v>263</v>
      </c>
      <c r="S29" s="119" t="s">
        <v>335</v>
      </c>
      <c r="U29" s="119" t="s">
        <v>254</v>
      </c>
      <c r="V29" s="119">
        <v>810</v>
      </c>
      <c r="W29" s="119">
        <v>19.600000000000001</v>
      </c>
      <c r="Y29" s="171">
        <f t="shared" si="1"/>
        <v>19600</v>
      </c>
      <c r="AG29" s="119" t="s">
        <v>417</v>
      </c>
      <c r="AH29" s="171">
        <v>22680</v>
      </c>
      <c r="AI29" s="119">
        <v>1</v>
      </c>
      <c r="AM29" s="119">
        <v>15.4</v>
      </c>
      <c r="AN29" s="119" t="s">
        <v>376</v>
      </c>
      <c r="AO29" s="119" t="s">
        <v>377</v>
      </c>
    </row>
    <row r="30" spans="2:41" x14ac:dyDescent="0.15">
      <c r="B30" s="119">
        <f t="shared" si="0"/>
        <v>28</v>
      </c>
      <c r="C30" s="126" t="s">
        <v>405</v>
      </c>
      <c r="D30" s="119" t="s">
        <v>406</v>
      </c>
      <c r="E30" s="119" t="s">
        <v>407</v>
      </c>
      <c r="F30" s="119">
        <v>4900</v>
      </c>
      <c r="H30" s="179">
        <f>AVERAGE(F30,G30)</f>
        <v>4900</v>
      </c>
      <c r="I30" s="171">
        <f>H30*4.2</f>
        <v>20580</v>
      </c>
      <c r="J30" s="171"/>
      <c r="K30" s="171">
        <f t="shared" si="3"/>
        <v>19260</v>
      </c>
      <c r="L30" s="201">
        <v>29500</v>
      </c>
      <c r="M30" s="248">
        <v>0.5</v>
      </c>
      <c r="N30" s="119">
        <v>1</v>
      </c>
      <c r="P30" s="119" t="s">
        <v>419</v>
      </c>
      <c r="S30" s="119" t="s">
        <v>335</v>
      </c>
      <c r="T30" s="119" t="s">
        <v>336</v>
      </c>
      <c r="U30" s="119" t="s">
        <v>309</v>
      </c>
      <c r="W30" s="119">
        <v>19</v>
      </c>
      <c r="Y30" s="171">
        <f t="shared" si="1"/>
        <v>19000</v>
      </c>
      <c r="AG30" s="119" t="s">
        <v>420</v>
      </c>
      <c r="AH30" s="171">
        <v>21056.7</v>
      </c>
      <c r="AI30" s="119">
        <v>1</v>
      </c>
      <c r="AL30" s="119" t="s">
        <v>274</v>
      </c>
    </row>
    <row r="31" spans="2:41" x14ac:dyDescent="0.15">
      <c r="B31" s="119">
        <f t="shared" si="0"/>
        <v>29</v>
      </c>
      <c r="C31" s="126" t="s">
        <v>413</v>
      </c>
      <c r="D31" s="119" t="s">
        <v>414</v>
      </c>
      <c r="E31" s="119" t="s">
        <v>415</v>
      </c>
      <c r="I31" s="171">
        <v>19350</v>
      </c>
      <c r="K31" s="171">
        <f t="shared" si="3"/>
        <v>18030</v>
      </c>
      <c r="L31" s="201">
        <v>29500</v>
      </c>
      <c r="M31" s="248">
        <v>0.5</v>
      </c>
      <c r="N31" s="119">
        <v>4</v>
      </c>
      <c r="P31" s="119" t="s">
        <v>424</v>
      </c>
      <c r="Q31" s="168" t="s">
        <v>263</v>
      </c>
      <c r="R31" s="119" t="s">
        <v>263</v>
      </c>
      <c r="S31" s="119" t="s">
        <v>335</v>
      </c>
      <c r="U31" s="119" t="s">
        <v>425</v>
      </c>
      <c r="V31" s="119">
        <v>660</v>
      </c>
      <c r="W31" s="119">
        <v>18.399999999999999</v>
      </c>
      <c r="Y31" s="171">
        <f t="shared" si="1"/>
        <v>18400</v>
      </c>
      <c r="AG31" s="119" t="s">
        <v>426</v>
      </c>
      <c r="AH31" s="171">
        <v>21000</v>
      </c>
      <c r="AI31" s="119">
        <v>1</v>
      </c>
      <c r="AL31" s="181" t="s">
        <v>427</v>
      </c>
      <c r="AM31" s="119">
        <v>22.5</v>
      </c>
      <c r="AO31" s="119" t="s">
        <v>259</v>
      </c>
    </row>
    <row r="32" spans="2:41" x14ac:dyDescent="0.15">
      <c r="B32" s="119">
        <f t="shared" si="0"/>
        <v>30</v>
      </c>
      <c r="C32" s="126" t="s">
        <v>418</v>
      </c>
      <c r="D32" s="119" t="s">
        <v>418</v>
      </c>
      <c r="I32" s="171">
        <v>19100</v>
      </c>
      <c r="K32" s="171">
        <f t="shared" si="3"/>
        <v>17780</v>
      </c>
      <c r="L32" s="201">
        <v>29500</v>
      </c>
      <c r="M32" s="248">
        <v>0.5</v>
      </c>
      <c r="N32" s="119">
        <v>4</v>
      </c>
      <c r="P32" s="119" t="s">
        <v>431</v>
      </c>
      <c r="Q32" s="168">
        <v>15</v>
      </c>
      <c r="R32" s="119">
        <v>20</v>
      </c>
      <c r="S32" s="119" t="s">
        <v>252</v>
      </c>
      <c r="T32" s="119" t="s">
        <v>253</v>
      </c>
      <c r="U32" s="119" t="s">
        <v>425</v>
      </c>
      <c r="V32" s="119" t="s">
        <v>263</v>
      </c>
      <c r="W32" s="119">
        <v>19.8</v>
      </c>
      <c r="Y32" s="171">
        <f t="shared" si="1"/>
        <v>19800</v>
      </c>
      <c r="AG32" s="119" t="s">
        <v>432</v>
      </c>
      <c r="AH32" s="171">
        <v>20126.400000000001</v>
      </c>
      <c r="AI32" s="119">
        <v>1</v>
      </c>
      <c r="AL32" s="181" t="s">
        <v>427</v>
      </c>
      <c r="AM32" s="119">
        <v>27.3</v>
      </c>
      <c r="AN32" s="119" t="s">
        <v>433</v>
      </c>
      <c r="AO32" s="119" t="s">
        <v>247</v>
      </c>
    </row>
    <row r="33" spans="2:41" x14ac:dyDescent="0.15">
      <c r="B33" s="119">
        <f t="shared" si="0"/>
        <v>31</v>
      </c>
      <c r="C33" s="126" t="s">
        <v>421</v>
      </c>
      <c r="D33" s="119" t="s">
        <v>422</v>
      </c>
      <c r="E33" s="119" t="s">
        <v>423</v>
      </c>
      <c r="I33" s="171">
        <v>18500</v>
      </c>
      <c r="K33" s="171">
        <f t="shared" si="3"/>
        <v>17180</v>
      </c>
      <c r="L33" s="201">
        <v>29500</v>
      </c>
      <c r="M33" s="248">
        <v>0.5</v>
      </c>
      <c r="N33" s="119">
        <v>4</v>
      </c>
      <c r="P33" s="119" t="s">
        <v>437</v>
      </c>
      <c r="Q33" s="168" t="s">
        <v>263</v>
      </c>
      <c r="R33" s="119" t="s">
        <v>263</v>
      </c>
      <c r="S33" s="119" t="s">
        <v>252</v>
      </c>
      <c r="T33" s="119" t="s">
        <v>253</v>
      </c>
      <c r="U33" s="119" t="s">
        <v>425</v>
      </c>
      <c r="V33" s="119">
        <v>680</v>
      </c>
      <c r="W33" s="119">
        <v>19</v>
      </c>
      <c r="X33" s="119">
        <v>21</v>
      </c>
      <c r="Y33" s="171">
        <f t="shared" si="1"/>
        <v>20000</v>
      </c>
      <c r="AG33" s="174" t="s">
        <v>438</v>
      </c>
      <c r="AH33" s="175">
        <v>17430</v>
      </c>
      <c r="AI33" s="174">
        <v>1</v>
      </c>
      <c r="AL33" s="181" t="s">
        <v>439</v>
      </c>
      <c r="AM33" s="119">
        <v>30.1</v>
      </c>
      <c r="AN33" s="119" t="s">
        <v>440</v>
      </c>
      <c r="AO33" s="119" t="s">
        <v>247</v>
      </c>
    </row>
    <row r="34" spans="2:41" x14ac:dyDescent="0.15">
      <c r="B34" s="119">
        <f t="shared" si="0"/>
        <v>32</v>
      </c>
      <c r="C34" s="126" t="s">
        <v>428</v>
      </c>
      <c r="D34" s="119" t="s">
        <v>429</v>
      </c>
      <c r="E34" s="119" t="s">
        <v>430</v>
      </c>
      <c r="F34" s="119">
        <v>4600</v>
      </c>
      <c r="H34" s="179">
        <f>AVERAGE(F34,G34)</f>
        <v>4600</v>
      </c>
      <c r="I34" s="171">
        <f>H34*4.2</f>
        <v>19320</v>
      </c>
      <c r="K34" s="171">
        <f t="shared" si="3"/>
        <v>18000</v>
      </c>
      <c r="L34" s="201">
        <v>29500</v>
      </c>
      <c r="M34" s="248">
        <v>0.5</v>
      </c>
      <c r="N34" s="119">
        <v>1</v>
      </c>
      <c r="P34" s="119" t="s">
        <v>444</v>
      </c>
      <c r="Q34" s="176" t="s">
        <v>403</v>
      </c>
      <c r="R34" s="177">
        <v>37716</v>
      </c>
      <c r="S34" s="119" t="s">
        <v>252</v>
      </c>
      <c r="T34" s="119" t="s">
        <v>336</v>
      </c>
      <c r="U34" s="119" t="s">
        <v>309</v>
      </c>
      <c r="V34" s="119" t="s">
        <v>263</v>
      </c>
      <c r="W34" s="119">
        <v>19.3</v>
      </c>
      <c r="Y34" s="171">
        <f t="shared" si="1"/>
        <v>19300</v>
      </c>
      <c r="AG34" s="119" t="s">
        <v>445</v>
      </c>
      <c r="AH34" s="171">
        <v>17663.099999999999</v>
      </c>
      <c r="AI34" s="119">
        <v>1</v>
      </c>
      <c r="AL34" s="181" t="s">
        <v>446</v>
      </c>
      <c r="AM34" s="119">
        <v>26.2</v>
      </c>
      <c r="AO34" s="119" t="s">
        <v>259</v>
      </c>
    </row>
    <row r="35" spans="2:41" x14ac:dyDescent="0.15">
      <c r="B35" s="119">
        <f t="shared" si="0"/>
        <v>33</v>
      </c>
      <c r="C35" s="126" t="s">
        <v>434</v>
      </c>
      <c r="D35" s="119" t="s">
        <v>435</v>
      </c>
      <c r="E35" s="119" t="s">
        <v>436</v>
      </c>
      <c r="I35" s="171">
        <v>20400</v>
      </c>
      <c r="K35" s="171">
        <f t="shared" si="3"/>
        <v>19080</v>
      </c>
      <c r="L35" s="201">
        <v>29500</v>
      </c>
      <c r="M35" s="248">
        <v>0.5</v>
      </c>
      <c r="N35" s="119">
        <v>4</v>
      </c>
      <c r="P35" s="119" t="s">
        <v>450</v>
      </c>
      <c r="Q35" s="168" t="s">
        <v>263</v>
      </c>
      <c r="R35" s="119" t="s">
        <v>263</v>
      </c>
      <c r="S35" s="119" t="s">
        <v>335</v>
      </c>
      <c r="T35" s="119" t="s">
        <v>336</v>
      </c>
      <c r="U35" s="119" t="s">
        <v>425</v>
      </c>
      <c r="V35" s="119">
        <v>750</v>
      </c>
      <c r="W35" s="119">
        <v>18.600000000000001</v>
      </c>
      <c r="Y35" s="171">
        <f t="shared" si="1"/>
        <v>18600</v>
      </c>
      <c r="AG35" s="174" t="s">
        <v>451</v>
      </c>
      <c r="AH35" s="175">
        <v>20160</v>
      </c>
      <c r="AI35" s="174">
        <v>1</v>
      </c>
      <c r="AL35" s="181" t="s">
        <v>452</v>
      </c>
      <c r="AM35" s="119">
        <v>18.399999999999999</v>
      </c>
      <c r="AO35" s="119" t="s">
        <v>259</v>
      </c>
    </row>
    <row r="36" spans="2:41" x14ac:dyDescent="0.15">
      <c r="B36" s="119">
        <f t="shared" si="0"/>
        <v>34</v>
      </c>
      <c r="C36" s="126" t="s">
        <v>441</v>
      </c>
      <c r="D36" s="119" t="s">
        <v>442</v>
      </c>
      <c r="E36" s="119" t="s">
        <v>443</v>
      </c>
      <c r="I36" s="171">
        <v>18700</v>
      </c>
      <c r="K36" s="171">
        <f t="shared" si="3"/>
        <v>17380</v>
      </c>
      <c r="L36" s="201">
        <v>29500</v>
      </c>
      <c r="M36" s="248">
        <v>0.5</v>
      </c>
      <c r="N36" s="119">
        <v>4</v>
      </c>
      <c r="P36" s="119" t="s">
        <v>456</v>
      </c>
      <c r="Q36" s="168" t="s">
        <v>263</v>
      </c>
      <c r="R36" s="119" t="s">
        <v>263</v>
      </c>
      <c r="S36" s="119" t="s">
        <v>335</v>
      </c>
      <c r="T36" s="119" t="s">
        <v>336</v>
      </c>
      <c r="U36" s="119" t="s">
        <v>425</v>
      </c>
      <c r="V36" s="119">
        <v>580</v>
      </c>
      <c r="W36" s="119">
        <v>18.100000000000001</v>
      </c>
      <c r="Y36" s="171">
        <f t="shared" si="1"/>
        <v>18100</v>
      </c>
      <c r="AG36" s="119" t="s">
        <v>457</v>
      </c>
      <c r="AH36" s="171">
        <v>18900</v>
      </c>
      <c r="AI36" s="119">
        <v>1</v>
      </c>
      <c r="AL36" s="181" t="s">
        <v>458</v>
      </c>
      <c r="AM36" s="119">
        <v>23.5</v>
      </c>
      <c r="AO36" s="119" t="s">
        <v>259</v>
      </c>
    </row>
    <row r="37" spans="2:41" x14ac:dyDescent="0.15">
      <c r="B37" s="119">
        <f t="shared" si="0"/>
        <v>35</v>
      </c>
      <c r="C37" s="126" t="s">
        <v>447</v>
      </c>
      <c r="D37" s="119" t="s">
        <v>448</v>
      </c>
      <c r="E37" s="119" t="s">
        <v>449</v>
      </c>
      <c r="I37" s="171">
        <v>19400</v>
      </c>
      <c r="K37" s="171">
        <f t="shared" si="3"/>
        <v>18080</v>
      </c>
      <c r="L37" s="201">
        <v>29500</v>
      </c>
      <c r="M37" s="248">
        <v>0.5</v>
      </c>
      <c r="N37" s="119">
        <v>4</v>
      </c>
      <c r="P37" s="119" t="s">
        <v>461</v>
      </c>
      <c r="Q37" s="168" t="s">
        <v>462</v>
      </c>
      <c r="R37" s="119" t="s">
        <v>463</v>
      </c>
      <c r="S37" s="119" t="s">
        <v>252</v>
      </c>
      <c r="T37" s="119" t="s">
        <v>253</v>
      </c>
      <c r="U37" s="119" t="s">
        <v>309</v>
      </c>
      <c r="V37" s="119">
        <v>430</v>
      </c>
      <c r="W37" s="119">
        <v>19</v>
      </c>
      <c r="X37" s="119">
        <v>21</v>
      </c>
      <c r="Y37" s="171">
        <f t="shared" si="1"/>
        <v>20000</v>
      </c>
      <c r="AG37" s="119" t="s">
        <v>464</v>
      </c>
      <c r="AH37" s="171">
        <v>20580</v>
      </c>
      <c r="AI37" s="119">
        <v>1</v>
      </c>
    </row>
    <row r="38" spans="2:41" x14ac:dyDescent="0.15">
      <c r="B38" s="119">
        <f t="shared" si="0"/>
        <v>36</v>
      </c>
      <c r="C38" s="126" t="s">
        <v>453</v>
      </c>
      <c r="D38" s="119" t="s">
        <v>454</v>
      </c>
      <c r="E38" s="119" t="s">
        <v>455</v>
      </c>
      <c r="F38" s="119">
        <v>4500</v>
      </c>
      <c r="G38" s="119">
        <v>4750</v>
      </c>
      <c r="H38" s="179">
        <f>AVERAGE(F38,G38)</f>
        <v>4625</v>
      </c>
      <c r="I38" s="171">
        <f>H38*4.2</f>
        <v>19425</v>
      </c>
      <c r="J38" s="171"/>
      <c r="K38" s="171">
        <f t="shared" si="3"/>
        <v>18105</v>
      </c>
      <c r="L38" s="201">
        <v>29500</v>
      </c>
      <c r="M38" s="248">
        <v>0.5</v>
      </c>
      <c r="N38" s="119">
        <v>1</v>
      </c>
      <c r="P38" s="119" t="s">
        <v>468</v>
      </c>
      <c r="Q38" s="168" t="s">
        <v>263</v>
      </c>
      <c r="R38" s="119" t="s">
        <v>263</v>
      </c>
      <c r="S38" s="119" t="s">
        <v>252</v>
      </c>
      <c r="T38" s="119" t="s">
        <v>253</v>
      </c>
      <c r="U38" s="119" t="s">
        <v>302</v>
      </c>
      <c r="V38" s="119">
        <v>430</v>
      </c>
      <c r="W38" s="119">
        <v>18.7</v>
      </c>
      <c r="Y38" s="171">
        <f t="shared" si="1"/>
        <v>18700</v>
      </c>
      <c r="AG38" s="119" t="s">
        <v>469</v>
      </c>
      <c r="AH38" s="171">
        <v>18916.150000000001</v>
      </c>
      <c r="AI38" s="119">
        <v>2</v>
      </c>
    </row>
    <row r="39" spans="2:41" x14ac:dyDescent="0.15">
      <c r="B39" s="119">
        <f t="shared" si="0"/>
        <v>37</v>
      </c>
      <c r="C39" s="126" t="s">
        <v>459</v>
      </c>
      <c r="D39" s="119" t="s">
        <v>460</v>
      </c>
      <c r="E39" s="119" t="s">
        <v>338</v>
      </c>
      <c r="I39" s="171">
        <f>VLOOKUP(E39,'Calorific values'!AA$4:AE$26,5)</f>
        <v>18684.050000000003</v>
      </c>
      <c r="J39" s="171"/>
      <c r="K39" s="171">
        <f t="shared" si="3"/>
        <v>17364.050000000003</v>
      </c>
      <c r="L39" s="201">
        <v>29500</v>
      </c>
      <c r="M39" s="248">
        <v>0.5</v>
      </c>
      <c r="N39" s="119">
        <v>2</v>
      </c>
      <c r="P39" s="119" t="s">
        <v>473</v>
      </c>
      <c r="Q39" s="176" t="s">
        <v>474</v>
      </c>
      <c r="R39" s="177">
        <v>37756</v>
      </c>
      <c r="S39" s="119" t="s">
        <v>252</v>
      </c>
      <c r="T39" s="119" t="s">
        <v>253</v>
      </c>
      <c r="U39" s="119" t="s">
        <v>309</v>
      </c>
      <c r="V39" s="119" t="s">
        <v>475</v>
      </c>
      <c r="W39" s="119">
        <v>20.100000000000001</v>
      </c>
      <c r="X39" s="119">
        <v>21</v>
      </c>
      <c r="Y39" s="171">
        <f t="shared" si="1"/>
        <v>20550</v>
      </c>
      <c r="AG39" s="119" t="s">
        <v>476</v>
      </c>
      <c r="AH39" s="171">
        <v>18544.79</v>
      </c>
      <c r="AI39" s="119">
        <v>2</v>
      </c>
    </row>
    <row r="40" spans="2:41" x14ac:dyDescent="0.15">
      <c r="B40" s="119">
        <f t="shared" si="0"/>
        <v>38</v>
      </c>
      <c r="C40" s="126" t="s">
        <v>465</v>
      </c>
      <c r="D40" s="119" t="s">
        <v>466</v>
      </c>
      <c r="E40" s="119" t="s">
        <v>467</v>
      </c>
      <c r="I40" s="171">
        <v>18400</v>
      </c>
      <c r="K40" s="171">
        <f t="shared" si="3"/>
        <v>17080</v>
      </c>
      <c r="L40" s="201">
        <v>29500</v>
      </c>
      <c r="M40" s="248">
        <v>0.5</v>
      </c>
      <c r="N40" s="119">
        <v>4</v>
      </c>
      <c r="P40" s="119" t="s">
        <v>480</v>
      </c>
      <c r="Q40" s="168" t="s">
        <v>481</v>
      </c>
      <c r="R40" s="177">
        <v>37782</v>
      </c>
      <c r="S40" s="119" t="s">
        <v>252</v>
      </c>
      <c r="T40" s="119" t="s">
        <v>253</v>
      </c>
      <c r="U40" s="119" t="s">
        <v>309</v>
      </c>
      <c r="V40" s="119" t="s">
        <v>482</v>
      </c>
      <c r="W40" s="119">
        <v>19</v>
      </c>
      <c r="X40" s="119">
        <v>20.5</v>
      </c>
      <c r="Y40" s="171">
        <f t="shared" si="1"/>
        <v>19750</v>
      </c>
      <c r="AG40" s="119" t="s">
        <v>312</v>
      </c>
      <c r="AH40" s="171">
        <v>18544.79</v>
      </c>
      <c r="AI40" s="119">
        <v>2</v>
      </c>
    </row>
    <row r="41" spans="2:41" x14ac:dyDescent="0.15">
      <c r="B41" s="119">
        <f t="shared" si="0"/>
        <v>39</v>
      </c>
      <c r="C41" s="126" t="s">
        <v>470</v>
      </c>
      <c r="D41" s="119" t="s">
        <v>471</v>
      </c>
      <c r="E41" s="119" t="s">
        <v>472</v>
      </c>
      <c r="I41" s="171">
        <v>18800</v>
      </c>
      <c r="K41" s="171">
        <f t="shared" si="3"/>
        <v>17480</v>
      </c>
      <c r="L41" s="201">
        <v>29500</v>
      </c>
      <c r="M41" s="248">
        <v>0.5</v>
      </c>
      <c r="N41" s="119">
        <v>4</v>
      </c>
      <c r="P41" s="119" t="s">
        <v>486</v>
      </c>
      <c r="Q41" s="176" t="s">
        <v>487</v>
      </c>
      <c r="R41" s="119">
        <v>8</v>
      </c>
      <c r="S41" s="119" t="s">
        <v>252</v>
      </c>
      <c r="T41" s="119" t="s">
        <v>253</v>
      </c>
      <c r="U41" s="119" t="s">
        <v>488</v>
      </c>
      <c r="V41" s="119">
        <v>740</v>
      </c>
      <c r="W41" s="119">
        <v>19</v>
      </c>
      <c r="X41" s="119">
        <v>20.6</v>
      </c>
      <c r="Y41" s="171">
        <f t="shared" si="1"/>
        <v>19800</v>
      </c>
      <c r="AG41" s="119" t="s">
        <v>489</v>
      </c>
      <c r="AH41" s="171">
        <v>18684.05</v>
      </c>
      <c r="AI41" s="119">
        <v>2</v>
      </c>
    </row>
    <row r="42" spans="2:41" x14ac:dyDescent="0.15">
      <c r="B42" s="119">
        <f t="shared" si="0"/>
        <v>40</v>
      </c>
      <c r="C42" s="126" t="s">
        <v>477</v>
      </c>
      <c r="D42" s="119" t="s">
        <v>478</v>
      </c>
      <c r="E42" s="119" t="s">
        <v>479</v>
      </c>
      <c r="F42" s="119">
        <v>4950</v>
      </c>
      <c r="H42" s="179">
        <f>AVERAGE(F42,G42)</f>
        <v>4950</v>
      </c>
      <c r="I42" s="171">
        <f>H42*4.2</f>
        <v>20790</v>
      </c>
      <c r="J42" s="171"/>
      <c r="K42" s="171">
        <f t="shared" si="3"/>
        <v>19470</v>
      </c>
      <c r="L42" s="201">
        <v>29500</v>
      </c>
      <c r="M42" s="248">
        <v>0.5</v>
      </c>
      <c r="N42" s="119">
        <v>1</v>
      </c>
      <c r="P42" s="119" t="s">
        <v>493</v>
      </c>
      <c r="Q42" s="168">
        <v>15</v>
      </c>
      <c r="R42" s="119">
        <v>5</v>
      </c>
      <c r="S42" s="119" t="s">
        <v>335</v>
      </c>
      <c r="V42" s="119" t="s">
        <v>263</v>
      </c>
      <c r="W42" s="119">
        <v>18.399999999999999</v>
      </c>
      <c r="Y42" s="171">
        <f t="shared" si="1"/>
        <v>18400</v>
      </c>
      <c r="AG42" s="119" t="s">
        <v>494</v>
      </c>
      <c r="AH42" s="171">
        <v>18916.150000000001</v>
      </c>
      <c r="AI42" s="119">
        <v>2</v>
      </c>
    </row>
    <row r="43" spans="2:41" x14ac:dyDescent="0.15">
      <c r="B43" s="119">
        <f t="shared" si="0"/>
        <v>41</v>
      </c>
      <c r="C43" s="126" t="s">
        <v>483</v>
      </c>
      <c r="D43" s="119" t="s">
        <v>484</v>
      </c>
      <c r="E43" s="119" t="s">
        <v>485</v>
      </c>
      <c r="I43" s="171">
        <v>19600</v>
      </c>
      <c r="K43" s="171">
        <f t="shared" si="3"/>
        <v>18280</v>
      </c>
      <c r="L43" s="201">
        <v>29500</v>
      </c>
      <c r="M43" s="248">
        <v>0.5</v>
      </c>
      <c r="N43" s="119">
        <v>4</v>
      </c>
      <c r="P43" s="119" t="s">
        <v>498</v>
      </c>
      <c r="Q43" s="168">
        <v>10</v>
      </c>
      <c r="R43" s="119">
        <v>15</v>
      </c>
      <c r="S43" s="119" t="s">
        <v>335</v>
      </c>
      <c r="T43" s="119" t="s">
        <v>336</v>
      </c>
      <c r="U43" s="119" t="s">
        <v>425</v>
      </c>
      <c r="V43" s="119">
        <v>590</v>
      </c>
      <c r="W43" s="119">
        <v>19.3</v>
      </c>
      <c r="Y43" s="171">
        <f t="shared" si="1"/>
        <v>19300</v>
      </c>
      <c r="AG43" s="119" t="s">
        <v>499</v>
      </c>
      <c r="AH43" s="171">
        <v>19960.599999999999</v>
      </c>
      <c r="AI43" s="119">
        <v>2</v>
      </c>
    </row>
    <row r="44" spans="2:41" ht="15" x14ac:dyDescent="0.15">
      <c r="B44" s="119">
        <f t="shared" si="0"/>
        <v>42</v>
      </c>
      <c r="C44" s="126" t="s">
        <v>490</v>
      </c>
      <c r="D44" s="119" t="s">
        <v>491</v>
      </c>
      <c r="E44" s="119" t="s">
        <v>492</v>
      </c>
      <c r="I44" s="171">
        <v>19000</v>
      </c>
      <c r="K44" s="171">
        <f t="shared" si="3"/>
        <v>17680</v>
      </c>
      <c r="L44" s="201">
        <v>29500</v>
      </c>
      <c r="M44" s="248">
        <v>0.5</v>
      </c>
      <c r="N44" s="119">
        <v>4</v>
      </c>
      <c r="P44" s="119" t="s">
        <v>503</v>
      </c>
      <c r="Q44" s="168" t="s">
        <v>504</v>
      </c>
      <c r="R44" s="119" t="s">
        <v>505</v>
      </c>
      <c r="S44" s="119" t="s">
        <v>252</v>
      </c>
      <c r="T44" s="119" t="s">
        <v>253</v>
      </c>
      <c r="U44" s="119" t="s">
        <v>390</v>
      </c>
      <c r="V44" s="119" t="s">
        <v>506</v>
      </c>
      <c r="W44" s="119">
        <v>17.5</v>
      </c>
      <c r="X44" s="119">
        <v>19.5</v>
      </c>
      <c r="Y44" s="171">
        <f t="shared" si="1"/>
        <v>18500</v>
      </c>
      <c r="AG44" s="119" t="s">
        <v>507</v>
      </c>
      <c r="AH44" s="171">
        <v>18684.05</v>
      </c>
      <c r="AI44" s="119">
        <v>2</v>
      </c>
    </row>
    <row r="45" spans="2:41" x14ac:dyDescent="0.15">
      <c r="B45" s="119">
        <f t="shared" si="0"/>
        <v>43</v>
      </c>
      <c r="C45" s="126" t="s">
        <v>495</v>
      </c>
      <c r="D45" s="119" t="s">
        <v>496</v>
      </c>
      <c r="E45" s="119" t="s">
        <v>497</v>
      </c>
      <c r="I45" s="171">
        <v>18400</v>
      </c>
      <c r="K45" s="171">
        <f t="shared" si="3"/>
        <v>17080</v>
      </c>
      <c r="L45" s="201">
        <v>29500</v>
      </c>
      <c r="M45" s="248">
        <v>0.5</v>
      </c>
      <c r="N45" s="119">
        <v>4</v>
      </c>
      <c r="P45" s="119" t="s">
        <v>511</v>
      </c>
      <c r="Q45" s="168">
        <v>8</v>
      </c>
      <c r="R45" s="119" t="s">
        <v>263</v>
      </c>
      <c r="S45" s="119" t="s">
        <v>335</v>
      </c>
      <c r="T45" s="119" t="s">
        <v>336</v>
      </c>
      <c r="U45" s="119" t="s">
        <v>254</v>
      </c>
      <c r="V45" s="119">
        <v>800</v>
      </c>
      <c r="W45" s="119">
        <v>19</v>
      </c>
      <c r="X45" s="119">
        <v>20.5</v>
      </c>
      <c r="Y45" s="171">
        <f t="shared" si="1"/>
        <v>19750</v>
      </c>
      <c r="AG45" s="119" t="s">
        <v>512</v>
      </c>
      <c r="AH45" s="171">
        <v>18544.79</v>
      </c>
      <c r="AI45" s="119">
        <v>2</v>
      </c>
    </row>
    <row r="46" spans="2:41" x14ac:dyDescent="0.15">
      <c r="B46" s="119">
        <f t="shared" si="0"/>
        <v>44</v>
      </c>
      <c r="C46" s="126" t="s">
        <v>500</v>
      </c>
      <c r="D46" s="119" t="s">
        <v>501</v>
      </c>
      <c r="E46" s="119" t="s">
        <v>502</v>
      </c>
      <c r="I46" s="171">
        <v>19800</v>
      </c>
      <c r="K46" s="171">
        <f t="shared" si="3"/>
        <v>18480</v>
      </c>
      <c r="L46" s="201">
        <v>29500</v>
      </c>
      <c r="M46" s="248">
        <v>0.5</v>
      </c>
      <c r="N46" s="119">
        <v>4</v>
      </c>
      <c r="P46" s="119" t="s">
        <v>516</v>
      </c>
      <c r="Q46" s="176" t="s">
        <v>363</v>
      </c>
      <c r="R46" s="119">
        <v>30</v>
      </c>
      <c r="S46" s="119" t="s">
        <v>335</v>
      </c>
      <c r="T46" s="119" t="s">
        <v>253</v>
      </c>
      <c r="U46" s="119" t="s">
        <v>309</v>
      </c>
      <c r="V46" s="119" t="s">
        <v>364</v>
      </c>
      <c r="W46" s="119">
        <v>20.100000000000001</v>
      </c>
      <c r="Y46" s="171">
        <f t="shared" si="1"/>
        <v>20100</v>
      </c>
      <c r="AG46" s="119" t="s">
        <v>517</v>
      </c>
      <c r="AH46" s="171">
        <v>20424.8</v>
      </c>
      <c r="AI46" s="119">
        <v>2</v>
      </c>
    </row>
    <row r="47" spans="2:41" x14ac:dyDescent="0.15">
      <c r="B47" s="119">
        <f t="shared" si="0"/>
        <v>45</v>
      </c>
      <c r="C47" s="126" t="s">
        <v>508</v>
      </c>
      <c r="D47" s="119" t="s">
        <v>509</v>
      </c>
      <c r="E47" s="119" t="s">
        <v>510</v>
      </c>
      <c r="F47" s="119">
        <v>4900</v>
      </c>
      <c r="G47" s="119">
        <v>5200</v>
      </c>
      <c r="H47" s="179">
        <f>AVERAGE(F47,G47)</f>
        <v>5050</v>
      </c>
      <c r="I47" s="171">
        <f>H47*4.2</f>
        <v>21210</v>
      </c>
      <c r="J47" s="171"/>
      <c r="K47" s="171">
        <f t="shared" si="3"/>
        <v>19890</v>
      </c>
      <c r="L47" s="201">
        <v>29500</v>
      </c>
      <c r="M47" s="248">
        <v>0.5</v>
      </c>
      <c r="N47" s="119">
        <v>1</v>
      </c>
      <c r="P47" s="119" t="s">
        <v>521</v>
      </c>
      <c r="Q47" s="176" t="s">
        <v>363</v>
      </c>
      <c r="R47" s="119">
        <v>30</v>
      </c>
      <c r="S47" s="119" t="s">
        <v>335</v>
      </c>
      <c r="T47" s="119" t="s">
        <v>253</v>
      </c>
      <c r="U47" s="119" t="s">
        <v>309</v>
      </c>
      <c r="V47" s="119" t="s">
        <v>364</v>
      </c>
      <c r="W47" s="119">
        <v>21.3</v>
      </c>
      <c r="Y47" s="171">
        <f t="shared" si="1"/>
        <v>21300</v>
      </c>
      <c r="AG47" s="119" t="s">
        <v>522</v>
      </c>
      <c r="AH47" s="171">
        <v>20633.689999999999</v>
      </c>
      <c r="AI47" s="119">
        <v>2</v>
      </c>
    </row>
    <row r="48" spans="2:41" x14ac:dyDescent="0.15">
      <c r="B48" s="119">
        <f t="shared" si="0"/>
        <v>46</v>
      </c>
      <c r="C48" s="126" t="s">
        <v>513</v>
      </c>
      <c r="D48" s="119" t="s">
        <v>514</v>
      </c>
      <c r="E48" s="119" t="s">
        <v>515</v>
      </c>
      <c r="F48" s="119">
        <v>4600</v>
      </c>
      <c r="H48" s="179">
        <f>AVERAGE(F48,G48)</f>
        <v>4600</v>
      </c>
      <c r="I48" s="171">
        <f>H48*4.2</f>
        <v>19320</v>
      </c>
      <c r="J48" s="171"/>
      <c r="K48" s="171">
        <f t="shared" si="3"/>
        <v>18000</v>
      </c>
      <c r="L48" s="201">
        <v>29500</v>
      </c>
      <c r="M48" s="248">
        <v>0.5</v>
      </c>
      <c r="N48" s="119">
        <v>1</v>
      </c>
      <c r="P48" s="119" t="s">
        <v>526</v>
      </c>
      <c r="Q48" s="176" t="s">
        <v>527</v>
      </c>
      <c r="R48" s="119">
        <v>8</v>
      </c>
      <c r="S48" s="119" t="s">
        <v>335</v>
      </c>
      <c r="V48" s="119" t="s">
        <v>263</v>
      </c>
      <c r="W48" s="119">
        <v>20</v>
      </c>
      <c r="Y48" s="171">
        <f t="shared" si="1"/>
        <v>20000</v>
      </c>
      <c r="AG48" s="119" t="s">
        <v>528</v>
      </c>
      <c r="AH48" s="171">
        <v>18916.150000000001</v>
      </c>
      <c r="AI48" s="119">
        <v>2</v>
      </c>
    </row>
    <row r="49" spans="2:35" x14ac:dyDescent="0.15">
      <c r="B49" s="119">
        <f t="shared" si="0"/>
        <v>47</v>
      </c>
      <c r="C49" s="126" t="s">
        <v>518</v>
      </c>
      <c r="D49" s="119" t="s">
        <v>519</v>
      </c>
      <c r="E49" s="119" t="s">
        <v>520</v>
      </c>
      <c r="I49" s="171">
        <v>18600</v>
      </c>
      <c r="K49" s="171">
        <f t="shared" si="3"/>
        <v>17280</v>
      </c>
      <c r="L49" s="201">
        <v>29500</v>
      </c>
      <c r="M49" s="248">
        <v>0.5</v>
      </c>
      <c r="N49" s="119">
        <v>4</v>
      </c>
      <c r="P49" s="119" t="s">
        <v>533</v>
      </c>
      <c r="Q49" s="168">
        <v>10</v>
      </c>
      <c r="R49" s="119">
        <v>25</v>
      </c>
      <c r="S49" s="119" t="s">
        <v>335</v>
      </c>
      <c r="V49" s="119" t="s">
        <v>263</v>
      </c>
      <c r="W49" s="119">
        <v>18.7</v>
      </c>
      <c r="Y49" s="171">
        <f t="shared" si="1"/>
        <v>18700</v>
      </c>
      <c r="AG49" s="119" t="s">
        <v>534</v>
      </c>
      <c r="AH49" s="171">
        <v>18684.05</v>
      </c>
      <c r="AI49" s="119">
        <v>2</v>
      </c>
    </row>
    <row r="50" spans="2:35" ht="15" x14ac:dyDescent="0.15">
      <c r="B50" s="119">
        <f t="shared" si="0"/>
        <v>48</v>
      </c>
      <c r="C50" s="126" t="s">
        <v>523</v>
      </c>
      <c r="D50" s="119" t="s">
        <v>524</v>
      </c>
      <c r="E50" s="119" t="s">
        <v>525</v>
      </c>
      <c r="I50" s="171">
        <v>18100</v>
      </c>
      <c r="K50" s="171">
        <f t="shared" si="3"/>
        <v>16780</v>
      </c>
      <c r="L50" s="201">
        <v>29500</v>
      </c>
      <c r="M50" s="248">
        <v>0.5</v>
      </c>
      <c r="N50" s="119">
        <v>4</v>
      </c>
      <c r="P50" s="119" t="s">
        <v>538</v>
      </c>
      <c r="Q50" s="168" t="s">
        <v>539</v>
      </c>
      <c r="R50" s="119" t="s">
        <v>540</v>
      </c>
      <c r="S50" s="119" t="s">
        <v>252</v>
      </c>
      <c r="T50" s="119" t="s">
        <v>253</v>
      </c>
      <c r="U50" s="119" t="s">
        <v>254</v>
      </c>
      <c r="V50" s="119">
        <v>420</v>
      </c>
      <c r="W50" s="119">
        <v>19.3</v>
      </c>
      <c r="Y50" s="171">
        <f t="shared" si="1"/>
        <v>19300</v>
      </c>
      <c r="AG50" s="119" t="s">
        <v>541</v>
      </c>
      <c r="AH50" s="171">
        <v>22513.7</v>
      </c>
      <c r="AI50" s="119">
        <v>2</v>
      </c>
    </row>
    <row r="51" spans="2:35" x14ac:dyDescent="0.15">
      <c r="B51" s="119">
        <f t="shared" si="0"/>
        <v>49</v>
      </c>
      <c r="C51" s="126" t="s">
        <v>529</v>
      </c>
      <c r="D51" s="119" t="s">
        <v>530</v>
      </c>
      <c r="E51" s="119" t="s">
        <v>531</v>
      </c>
      <c r="F51" s="119">
        <v>5200</v>
      </c>
      <c r="H51" s="179">
        <f>AVERAGE(F51,G51)</f>
        <v>5200</v>
      </c>
      <c r="I51" s="171">
        <f>H51*4.2</f>
        <v>21840</v>
      </c>
      <c r="J51" s="171" t="s">
        <v>532</v>
      </c>
      <c r="K51" s="171">
        <f t="shared" si="3"/>
        <v>20520</v>
      </c>
      <c r="L51" s="201">
        <v>29500</v>
      </c>
      <c r="M51" s="248">
        <v>0.5</v>
      </c>
      <c r="N51" s="119">
        <v>1</v>
      </c>
      <c r="P51" s="119" t="s">
        <v>545</v>
      </c>
      <c r="Q51" s="168">
        <v>17</v>
      </c>
      <c r="R51" s="119">
        <v>25</v>
      </c>
      <c r="S51" s="119" t="s">
        <v>252</v>
      </c>
      <c r="T51" s="119" t="s">
        <v>336</v>
      </c>
      <c r="U51" s="119" t="s">
        <v>425</v>
      </c>
      <c r="V51" s="119" t="s">
        <v>263</v>
      </c>
      <c r="W51" s="119">
        <v>20.7</v>
      </c>
      <c r="Y51" s="171">
        <f t="shared" si="1"/>
        <v>20700</v>
      </c>
      <c r="AG51" s="119" t="s">
        <v>546</v>
      </c>
      <c r="AH51" s="171">
        <v>19519.61</v>
      </c>
      <c r="AI51" s="119">
        <v>2</v>
      </c>
    </row>
    <row r="52" spans="2:35" x14ac:dyDescent="0.15">
      <c r="B52" s="119">
        <f t="shared" si="0"/>
        <v>50</v>
      </c>
      <c r="C52" s="126" t="s">
        <v>535</v>
      </c>
      <c r="D52" s="119" t="s">
        <v>536</v>
      </c>
      <c r="E52" s="119" t="s">
        <v>537</v>
      </c>
      <c r="F52" s="119">
        <v>4800</v>
      </c>
      <c r="H52" s="179">
        <f>AVERAGE(F52,G52)</f>
        <v>4800</v>
      </c>
      <c r="I52" s="171">
        <f>H52*4.2</f>
        <v>20160</v>
      </c>
      <c r="K52" s="171">
        <f t="shared" si="3"/>
        <v>18840</v>
      </c>
      <c r="L52" s="201">
        <v>29500</v>
      </c>
      <c r="M52" s="248">
        <v>0.5</v>
      </c>
      <c r="N52" s="119">
        <v>1</v>
      </c>
      <c r="P52" s="119" t="s">
        <v>550</v>
      </c>
      <c r="Q52" s="168" t="s">
        <v>263</v>
      </c>
      <c r="R52" s="119" t="s">
        <v>263</v>
      </c>
      <c r="S52" s="119" t="s">
        <v>252</v>
      </c>
      <c r="T52" s="119" t="s">
        <v>336</v>
      </c>
      <c r="U52" s="119" t="s">
        <v>254</v>
      </c>
      <c r="V52" s="119">
        <v>770</v>
      </c>
      <c r="W52" s="119">
        <v>20.100000000000001</v>
      </c>
      <c r="X52" s="119">
        <v>20.5</v>
      </c>
      <c r="Y52" s="171">
        <f t="shared" si="1"/>
        <v>20300</v>
      </c>
      <c r="AG52" s="119" t="s">
        <v>551</v>
      </c>
      <c r="AH52" s="171">
        <v>19519.61</v>
      </c>
      <c r="AI52" s="119">
        <v>2</v>
      </c>
    </row>
    <row r="53" spans="2:35" x14ac:dyDescent="0.15">
      <c r="B53" s="119">
        <f t="shared" si="0"/>
        <v>51</v>
      </c>
      <c r="C53" s="126" t="s">
        <v>542</v>
      </c>
      <c r="D53" s="119" t="s">
        <v>543</v>
      </c>
      <c r="E53" s="119" t="s">
        <v>544</v>
      </c>
      <c r="I53" s="171">
        <v>18700</v>
      </c>
      <c r="K53" s="171">
        <f t="shared" si="3"/>
        <v>17380</v>
      </c>
      <c r="L53" s="201">
        <v>29500</v>
      </c>
      <c r="M53" s="248">
        <v>0.5</v>
      </c>
      <c r="N53" s="119">
        <v>4</v>
      </c>
      <c r="P53" s="119" t="s">
        <v>555</v>
      </c>
      <c r="Q53" s="168" t="s">
        <v>263</v>
      </c>
      <c r="R53" s="119" t="s">
        <v>263</v>
      </c>
      <c r="S53" s="119" t="s">
        <v>335</v>
      </c>
      <c r="T53" s="119" t="s">
        <v>336</v>
      </c>
      <c r="V53" s="119">
        <v>560</v>
      </c>
      <c r="W53" s="119">
        <v>16.3</v>
      </c>
      <c r="Y53" s="171">
        <f t="shared" si="1"/>
        <v>16300</v>
      </c>
      <c r="AG53" s="119" t="s">
        <v>556</v>
      </c>
      <c r="AH53" s="171">
        <v>18962.57</v>
      </c>
      <c r="AI53" s="119">
        <v>2</v>
      </c>
    </row>
    <row r="54" spans="2:35" x14ac:dyDescent="0.15">
      <c r="B54" s="119">
        <f t="shared" si="0"/>
        <v>52</v>
      </c>
      <c r="C54" s="126" t="s">
        <v>547</v>
      </c>
      <c r="D54" s="119" t="s">
        <v>548</v>
      </c>
      <c r="E54" s="119" t="s">
        <v>549</v>
      </c>
      <c r="F54" s="119">
        <v>4800</v>
      </c>
      <c r="H54" s="179">
        <f>AVERAGE(F54,G54)</f>
        <v>4800</v>
      </c>
      <c r="I54" s="171">
        <f>H54*4.2</f>
        <v>20160</v>
      </c>
      <c r="J54" s="171"/>
      <c r="K54" s="171">
        <f t="shared" si="3"/>
        <v>18840</v>
      </c>
      <c r="L54" s="201">
        <v>29500</v>
      </c>
      <c r="M54" s="248">
        <v>0.5</v>
      </c>
      <c r="N54" s="119">
        <v>1</v>
      </c>
      <c r="P54" s="119" t="s">
        <v>559</v>
      </c>
      <c r="S54" s="119" t="s">
        <v>335</v>
      </c>
      <c r="T54" s="119" t="s">
        <v>336</v>
      </c>
      <c r="V54" s="119">
        <v>580</v>
      </c>
      <c r="W54" s="119">
        <v>15.4</v>
      </c>
      <c r="Y54" s="171">
        <f t="shared" si="1"/>
        <v>15400</v>
      </c>
      <c r="AG54" s="174" t="s">
        <v>250</v>
      </c>
      <c r="AH54" s="175">
        <v>19000</v>
      </c>
      <c r="AI54" s="174">
        <v>4</v>
      </c>
    </row>
    <row r="55" spans="2:35" x14ac:dyDescent="0.15">
      <c r="B55" s="119">
        <f t="shared" si="0"/>
        <v>53</v>
      </c>
      <c r="C55" s="126" t="s">
        <v>552</v>
      </c>
      <c r="D55" s="119" t="s">
        <v>553</v>
      </c>
      <c r="E55" s="119" t="s">
        <v>554</v>
      </c>
      <c r="I55" s="171">
        <v>19750</v>
      </c>
      <c r="K55" s="171">
        <f t="shared" si="3"/>
        <v>18430</v>
      </c>
      <c r="L55" s="201">
        <v>29500</v>
      </c>
      <c r="M55" s="248">
        <v>0.5</v>
      </c>
      <c r="N55" s="119">
        <v>4</v>
      </c>
      <c r="P55" s="119" t="s">
        <v>563</v>
      </c>
      <c r="R55" s="119" t="s">
        <v>263</v>
      </c>
      <c r="S55" s="119" t="s">
        <v>335</v>
      </c>
      <c r="T55" s="119" t="s">
        <v>336</v>
      </c>
      <c r="V55" s="119">
        <v>690</v>
      </c>
      <c r="W55" s="119">
        <v>18.3</v>
      </c>
      <c r="Y55" s="171">
        <f t="shared" si="1"/>
        <v>18300</v>
      </c>
      <c r="AG55" s="174" t="s">
        <v>262</v>
      </c>
      <c r="AH55" s="175">
        <v>18700</v>
      </c>
      <c r="AI55" s="174">
        <v>4</v>
      </c>
    </row>
    <row r="56" spans="2:35" x14ac:dyDescent="0.15">
      <c r="B56" s="119">
        <f t="shared" si="0"/>
        <v>54</v>
      </c>
      <c r="C56" s="126" t="s">
        <v>557</v>
      </c>
      <c r="D56" s="119" t="s">
        <v>558</v>
      </c>
      <c r="E56" s="119" t="s">
        <v>269</v>
      </c>
      <c r="I56" s="171">
        <f>VLOOKUP(E56,'Calorific values'!AA$4:AE$26,5)</f>
        <v>18916.150000000001</v>
      </c>
      <c r="J56" s="171"/>
      <c r="K56" s="171">
        <f t="shared" si="3"/>
        <v>17596.150000000001</v>
      </c>
      <c r="L56" s="201">
        <v>29500</v>
      </c>
      <c r="M56" s="248">
        <v>0.5</v>
      </c>
      <c r="N56" s="119">
        <v>2</v>
      </c>
      <c r="Q56" s="176"/>
      <c r="R56" s="177"/>
      <c r="AG56" s="119" t="s">
        <v>268</v>
      </c>
      <c r="AH56" s="171">
        <v>19200</v>
      </c>
      <c r="AI56" s="119">
        <v>4</v>
      </c>
    </row>
    <row r="57" spans="2:35" x14ac:dyDescent="0.15">
      <c r="B57" s="119">
        <f t="shared" si="0"/>
        <v>55</v>
      </c>
      <c r="C57" s="126" t="s">
        <v>560</v>
      </c>
      <c r="D57" s="119" t="s">
        <v>561</v>
      </c>
      <c r="E57" s="119" t="s">
        <v>562</v>
      </c>
      <c r="I57" s="171">
        <v>18400</v>
      </c>
      <c r="K57" s="171">
        <f t="shared" si="3"/>
        <v>17080</v>
      </c>
      <c r="L57" s="201">
        <v>29500</v>
      </c>
      <c r="M57" s="248">
        <v>0.5</v>
      </c>
      <c r="N57" s="119">
        <v>4</v>
      </c>
      <c r="P57" s="119" t="s">
        <v>568</v>
      </c>
      <c r="AG57" s="119" t="s">
        <v>286</v>
      </c>
      <c r="AH57" s="171">
        <v>21800</v>
      </c>
      <c r="AI57" s="119">
        <v>4</v>
      </c>
    </row>
    <row r="58" spans="2:35" x14ac:dyDescent="0.15">
      <c r="B58" s="119">
        <f t="shared" si="0"/>
        <v>56</v>
      </c>
      <c r="C58" s="126" t="s">
        <v>486</v>
      </c>
      <c r="D58" s="119" t="s">
        <v>486</v>
      </c>
      <c r="E58" s="119" t="s">
        <v>564</v>
      </c>
      <c r="F58" s="119">
        <v>4900</v>
      </c>
      <c r="H58" s="179">
        <f>AVERAGE(F58,G58)</f>
        <v>4900</v>
      </c>
      <c r="I58" s="171">
        <f>H58*4.2</f>
        <v>20580</v>
      </c>
      <c r="J58" s="171"/>
      <c r="K58" s="171">
        <f t="shared" si="3"/>
        <v>19260</v>
      </c>
      <c r="L58" s="201">
        <v>29500</v>
      </c>
      <c r="M58" s="248">
        <v>0.5</v>
      </c>
      <c r="N58" s="119">
        <v>1</v>
      </c>
      <c r="P58" s="119" t="s">
        <v>572</v>
      </c>
      <c r="AG58" s="174" t="s">
        <v>292</v>
      </c>
      <c r="AH58" s="175">
        <v>18000</v>
      </c>
      <c r="AI58" s="174">
        <v>4</v>
      </c>
    </row>
    <row r="59" spans="2:35" x14ac:dyDescent="0.15">
      <c r="B59" s="119">
        <f t="shared" si="0"/>
        <v>57</v>
      </c>
      <c r="C59" s="126" t="s">
        <v>565</v>
      </c>
      <c r="D59" s="182" t="s">
        <v>566</v>
      </c>
      <c r="E59" s="182" t="s">
        <v>567</v>
      </c>
      <c r="F59" s="182">
        <v>4800</v>
      </c>
      <c r="G59" s="182"/>
      <c r="H59" s="183">
        <f>AVERAGE(F59,G59)</f>
        <v>4800</v>
      </c>
      <c r="I59" s="184">
        <f>H59*4.2</f>
        <v>20160</v>
      </c>
      <c r="J59" s="171"/>
      <c r="K59" s="171">
        <f t="shared" si="3"/>
        <v>18840</v>
      </c>
      <c r="L59" s="201">
        <v>29500</v>
      </c>
      <c r="M59" s="248">
        <v>0.5</v>
      </c>
      <c r="N59" s="119">
        <v>1</v>
      </c>
      <c r="P59" s="119" t="s">
        <v>576</v>
      </c>
      <c r="AG59" s="174" t="s">
        <v>300</v>
      </c>
      <c r="AH59" s="175">
        <v>18100</v>
      </c>
      <c r="AI59" s="174">
        <v>4</v>
      </c>
    </row>
    <row r="60" spans="2:35" x14ac:dyDescent="0.15">
      <c r="B60" s="119">
        <f t="shared" si="0"/>
        <v>58</v>
      </c>
      <c r="C60" s="126" t="s">
        <v>569</v>
      </c>
      <c r="D60" s="119" t="s">
        <v>570</v>
      </c>
      <c r="E60" s="119" t="s">
        <v>571</v>
      </c>
      <c r="I60" s="171">
        <v>19300</v>
      </c>
      <c r="K60" s="171">
        <f t="shared" si="3"/>
        <v>17980</v>
      </c>
      <c r="L60" s="201">
        <v>29500</v>
      </c>
      <c r="M60" s="248">
        <v>0.5</v>
      </c>
      <c r="N60" s="119">
        <v>4</v>
      </c>
      <c r="P60" s="119" t="s">
        <v>580</v>
      </c>
      <c r="AG60" s="119" t="s">
        <v>308</v>
      </c>
      <c r="AH60" s="171">
        <v>21800</v>
      </c>
      <c r="AI60" s="119">
        <v>4</v>
      </c>
    </row>
    <row r="61" spans="2:35" x14ac:dyDescent="0.15">
      <c r="B61" s="119">
        <f t="shared" si="0"/>
        <v>59</v>
      </c>
      <c r="C61" s="126" t="s">
        <v>573</v>
      </c>
      <c r="D61" s="119" t="s">
        <v>574</v>
      </c>
      <c r="E61" s="119" t="s">
        <v>575</v>
      </c>
      <c r="F61" s="119">
        <v>4200</v>
      </c>
      <c r="G61" s="119">
        <v>4600</v>
      </c>
      <c r="H61" s="179">
        <f>AVERAGE(F61,G61)</f>
        <v>4400</v>
      </c>
      <c r="I61" s="171">
        <f>H61*4.2</f>
        <v>18480</v>
      </c>
      <c r="K61" s="171">
        <f t="shared" si="3"/>
        <v>17160</v>
      </c>
      <c r="L61" s="201">
        <v>29500</v>
      </c>
      <c r="M61" s="248">
        <v>0.5</v>
      </c>
      <c r="N61" s="119">
        <v>1</v>
      </c>
      <c r="P61" s="119" t="s">
        <v>583</v>
      </c>
      <c r="AG61" s="119" t="s">
        <v>317</v>
      </c>
      <c r="AH61" s="171">
        <v>19700</v>
      </c>
      <c r="AI61" s="119">
        <v>4</v>
      </c>
    </row>
    <row r="62" spans="2:35" x14ac:dyDescent="0.15">
      <c r="B62" s="119">
        <f t="shared" si="0"/>
        <v>60</v>
      </c>
      <c r="C62" s="126" t="s">
        <v>577</v>
      </c>
      <c r="D62" s="119" t="s">
        <v>578</v>
      </c>
      <c r="E62" s="119" t="s">
        <v>579</v>
      </c>
      <c r="F62" s="119">
        <v>5043</v>
      </c>
      <c r="G62" s="119">
        <v>5176</v>
      </c>
      <c r="H62" s="179">
        <f>AVERAGE(F62,G62)</f>
        <v>5109.5</v>
      </c>
      <c r="I62" s="171">
        <f>H62*4.2</f>
        <v>21459.9</v>
      </c>
      <c r="K62" s="171">
        <f t="shared" si="3"/>
        <v>20139.900000000001</v>
      </c>
      <c r="L62" s="201">
        <v>29500</v>
      </c>
      <c r="M62" s="248">
        <v>0.5</v>
      </c>
      <c r="N62" s="119">
        <v>1</v>
      </c>
      <c r="P62" s="119" t="s">
        <v>586</v>
      </c>
      <c r="AG62" s="119" t="s">
        <v>325</v>
      </c>
      <c r="AH62" s="171">
        <v>17150</v>
      </c>
      <c r="AI62" s="119">
        <v>4</v>
      </c>
    </row>
    <row r="63" spans="2:35" x14ac:dyDescent="0.15">
      <c r="B63" s="119">
        <f t="shared" si="0"/>
        <v>61</v>
      </c>
      <c r="C63" s="126" t="s">
        <v>581</v>
      </c>
      <c r="D63" s="119" t="s">
        <v>582</v>
      </c>
      <c r="E63" s="119" t="s">
        <v>365</v>
      </c>
      <c r="I63" s="171">
        <f>VLOOKUP(E63,'Calorific values'!AA$4:AE$26,5)</f>
        <v>19960.600000000002</v>
      </c>
      <c r="J63" s="171"/>
      <c r="K63" s="171">
        <f t="shared" si="3"/>
        <v>18640.600000000002</v>
      </c>
      <c r="L63" s="201">
        <v>29500</v>
      </c>
      <c r="M63" s="248">
        <v>0.5</v>
      </c>
      <c r="N63" s="119">
        <v>2</v>
      </c>
      <c r="P63" s="119" t="s">
        <v>590</v>
      </c>
      <c r="AG63" s="119" t="s">
        <v>334</v>
      </c>
      <c r="AH63" s="171">
        <v>19200</v>
      </c>
      <c r="AI63" s="119">
        <v>4</v>
      </c>
    </row>
    <row r="64" spans="2:35" x14ac:dyDescent="0.15">
      <c r="B64" s="119">
        <f t="shared" si="0"/>
        <v>62</v>
      </c>
      <c r="C64" s="126" t="s">
        <v>584</v>
      </c>
      <c r="D64" s="119" t="s">
        <v>585</v>
      </c>
      <c r="E64" s="119" t="s">
        <v>329</v>
      </c>
      <c r="I64" s="171">
        <f>VLOOKUP(E64,'Calorific values'!AA$4:AE$26,5)</f>
        <v>18684.050000000003</v>
      </c>
      <c r="K64" s="171">
        <f t="shared" si="3"/>
        <v>17364.050000000003</v>
      </c>
      <c r="L64" s="201">
        <v>29500</v>
      </c>
      <c r="M64" s="248">
        <v>0.5</v>
      </c>
      <c r="N64" s="119">
        <v>2</v>
      </c>
      <c r="P64" s="119" t="s">
        <v>593</v>
      </c>
      <c r="AG64" s="119" t="s">
        <v>343</v>
      </c>
      <c r="AH64" s="171">
        <v>19350</v>
      </c>
      <c r="AI64" s="119">
        <v>4</v>
      </c>
    </row>
    <row r="65" spans="2:35" x14ac:dyDescent="0.15">
      <c r="B65" s="119">
        <f t="shared" si="0"/>
        <v>63</v>
      </c>
      <c r="C65" s="126" t="s">
        <v>587</v>
      </c>
      <c r="D65" s="119" t="s">
        <v>588</v>
      </c>
      <c r="E65" s="119" t="s">
        <v>589</v>
      </c>
      <c r="F65" s="119">
        <v>5200</v>
      </c>
      <c r="G65" s="119">
        <v>5600</v>
      </c>
      <c r="H65" s="179">
        <f>AVERAGE(F65,G65)</f>
        <v>5400</v>
      </c>
      <c r="I65" s="171">
        <f>H65*4.2</f>
        <v>22680</v>
      </c>
      <c r="J65" s="171"/>
      <c r="K65" s="171">
        <f t="shared" si="3"/>
        <v>21360</v>
      </c>
      <c r="L65" s="201">
        <v>29500</v>
      </c>
      <c r="M65" s="248">
        <v>0.5</v>
      </c>
      <c r="N65" s="119">
        <v>1</v>
      </c>
      <c r="P65" s="119" t="s">
        <v>597</v>
      </c>
      <c r="AG65" s="119" t="s">
        <v>350</v>
      </c>
      <c r="AH65" s="171">
        <v>19100</v>
      </c>
      <c r="AI65" s="119">
        <v>4</v>
      </c>
    </row>
    <row r="66" spans="2:35" x14ac:dyDescent="0.15">
      <c r="B66" s="119">
        <f t="shared" si="0"/>
        <v>64</v>
      </c>
      <c r="C66" s="126" t="s">
        <v>591</v>
      </c>
      <c r="D66" s="119" t="s">
        <v>592</v>
      </c>
      <c r="E66" s="119" t="s">
        <v>374</v>
      </c>
      <c r="I66" s="171">
        <f>VLOOKUP(E66,'Calorific values'!AA$4:AE$26,5)</f>
        <v>18544.79</v>
      </c>
      <c r="K66" s="171">
        <f t="shared" si="3"/>
        <v>17224.79</v>
      </c>
      <c r="L66" s="201">
        <v>29500</v>
      </c>
      <c r="M66" s="248">
        <v>0.5</v>
      </c>
      <c r="N66" s="119">
        <v>2</v>
      </c>
      <c r="P66" s="119" t="s">
        <v>600</v>
      </c>
      <c r="AG66" s="119" t="s">
        <v>355</v>
      </c>
      <c r="AH66" s="171">
        <v>18500</v>
      </c>
      <c r="AI66" s="119">
        <v>4</v>
      </c>
    </row>
    <row r="67" spans="2:35" x14ac:dyDescent="0.15">
      <c r="B67" s="119">
        <f t="shared" si="0"/>
        <v>65</v>
      </c>
      <c r="C67" s="126" t="s">
        <v>594</v>
      </c>
      <c r="D67" s="119" t="s">
        <v>595</v>
      </c>
      <c r="E67" s="119" t="s">
        <v>596</v>
      </c>
      <c r="F67" s="119">
        <v>5008</v>
      </c>
      <c r="G67" s="119">
        <v>5019</v>
      </c>
      <c r="H67" s="179">
        <f>AVERAGE(F67,G67)</f>
        <v>5013.5</v>
      </c>
      <c r="I67" s="171">
        <f>H67*4.2</f>
        <v>21056.7</v>
      </c>
      <c r="J67" s="171"/>
      <c r="K67" s="171">
        <f t="shared" si="3"/>
        <v>19736.7</v>
      </c>
      <c r="L67" s="201">
        <v>29500</v>
      </c>
      <c r="M67" s="248">
        <v>0.5</v>
      </c>
      <c r="N67" s="119">
        <v>1</v>
      </c>
      <c r="P67" s="119" t="s">
        <v>604</v>
      </c>
      <c r="AG67" s="119" t="s">
        <v>362</v>
      </c>
      <c r="AH67" s="171">
        <v>20400</v>
      </c>
      <c r="AI67" s="119">
        <v>4</v>
      </c>
    </row>
    <row r="68" spans="2:35" x14ac:dyDescent="0.15">
      <c r="B68" s="119">
        <f t="shared" si="0"/>
        <v>66</v>
      </c>
      <c r="C68" s="126" t="s">
        <v>598</v>
      </c>
      <c r="D68" s="119" t="s">
        <v>599</v>
      </c>
      <c r="E68" s="119" t="s">
        <v>287</v>
      </c>
      <c r="I68" s="171">
        <f>VLOOKUP(E68,'Calorific values'!AA$4:AE$26,5)</f>
        <v>20424.800000000003</v>
      </c>
      <c r="K68" s="171">
        <f t="shared" si="3"/>
        <v>19104.800000000003</v>
      </c>
      <c r="L68" s="201">
        <v>29500</v>
      </c>
      <c r="M68" s="248">
        <v>0.5</v>
      </c>
      <c r="N68" s="119">
        <v>2</v>
      </c>
      <c r="P68" s="119" t="s">
        <v>608</v>
      </c>
      <c r="AG68" s="119" t="s">
        <v>372</v>
      </c>
      <c r="AH68" s="171">
        <v>18700</v>
      </c>
      <c r="AI68" s="119">
        <v>4</v>
      </c>
    </row>
    <row r="69" spans="2:35" x14ac:dyDescent="0.15">
      <c r="B69" s="119">
        <f t="shared" ref="B69:B90" si="6">B68+1</f>
        <v>67</v>
      </c>
      <c r="C69" s="126" t="s">
        <v>601</v>
      </c>
      <c r="D69" s="119" t="s">
        <v>602</v>
      </c>
      <c r="E69" s="119" t="s">
        <v>603</v>
      </c>
      <c r="F69" s="119">
        <v>5000</v>
      </c>
      <c r="H69" s="179">
        <f>AVERAGE(F69,G69)</f>
        <v>5000</v>
      </c>
      <c r="I69" s="171">
        <f>H69*4.2</f>
        <v>21000</v>
      </c>
      <c r="J69" s="171" t="s">
        <v>349</v>
      </c>
      <c r="K69" s="171">
        <f t="shared" si="3"/>
        <v>19680</v>
      </c>
      <c r="L69" s="201">
        <v>29500</v>
      </c>
      <c r="M69" s="248">
        <v>0.5</v>
      </c>
      <c r="N69" s="119">
        <v>1</v>
      </c>
      <c r="P69" s="119" t="s">
        <v>611</v>
      </c>
      <c r="AG69" s="119" t="s">
        <v>381</v>
      </c>
      <c r="AH69" s="171">
        <v>19400</v>
      </c>
      <c r="AI69" s="119">
        <v>4</v>
      </c>
    </row>
    <row r="70" spans="2:35" x14ac:dyDescent="0.15">
      <c r="B70" s="119">
        <f t="shared" si="6"/>
        <v>68</v>
      </c>
      <c r="C70" s="126" t="s">
        <v>605</v>
      </c>
      <c r="D70" s="119" t="s">
        <v>606</v>
      </c>
      <c r="E70" s="119" t="s">
        <v>607</v>
      </c>
      <c r="I70" s="171">
        <v>19750</v>
      </c>
      <c r="K70" s="171">
        <f t="shared" si="3"/>
        <v>18430</v>
      </c>
      <c r="L70" s="201">
        <v>29500</v>
      </c>
      <c r="M70" s="248">
        <v>0.5</v>
      </c>
      <c r="N70" s="119">
        <v>4</v>
      </c>
      <c r="P70" s="119" t="s">
        <v>615</v>
      </c>
      <c r="AG70" s="174" t="s">
        <v>388</v>
      </c>
      <c r="AH70" s="175">
        <v>19400</v>
      </c>
      <c r="AI70" s="174">
        <v>4</v>
      </c>
    </row>
    <row r="71" spans="2:35" x14ac:dyDescent="0.15">
      <c r="B71" s="119">
        <f t="shared" si="6"/>
        <v>69</v>
      </c>
      <c r="C71" s="126" t="s">
        <v>609</v>
      </c>
      <c r="D71" s="119" t="s">
        <v>610</v>
      </c>
      <c r="E71" s="119" t="s">
        <v>303</v>
      </c>
      <c r="I71" s="171">
        <f>VLOOKUP(E71,'Calorific values'!AA$4:AE$26,5)</f>
        <v>20633.689999999999</v>
      </c>
      <c r="K71" s="171">
        <f t="shared" si="3"/>
        <v>19313.689999999999</v>
      </c>
      <c r="L71" s="201">
        <v>29500</v>
      </c>
      <c r="M71" s="248">
        <v>0.5</v>
      </c>
      <c r="N71" s="119">
        <v>2</v>
      </c>
      <c r="P71" s="119" t="s">
        <v>618</v>
      </c>
      <c r="AG71" s="119" t="s">
        <v>394</v>
      </c>
      <c r="AH71" s="171">
        <v>18400</v>
      </c>
      <c r="AI71" s="119">
        <v>4</v>
      </c>
    </row>
    <row r="72" spans="2:35" x14ac:dyDescent="0.15">
      <c r="B72" s="119">
        <f t="shared" si="6"/>
        <v>70</v>
      </c>
      <c r="C72" s="126" t="s">
        <v>612</v>
      </c>
      <c r="D72" s="119" t="s">
        <v>613</v>
      </c>
      <c r="E72" s="119" t="s">
        <v>614</v>
      </c>
      <c r="F72" s="119">
        <v>4792</v>
      </c>
      <c r="H72" s="179">
        <f>AVERAGE(F72,G72)</f>
        <v>4792</v>
      </c>
      <c r="I72" s="171">
        <f>H72*4.2</f>
        <v>20126.400000000001</v>
      </c>
      <c r="K72" s="171">
        <f t="shared" si="3"/>
        <v>18806.400000000001</v>
      </c>
      <c r="L72" s="201">
        <v>29500</v>
      </c>
      <c r="M72" s="248">
        <v>0.5</v>
      </c>
      <c r="N72" s="119">
        <v>1</v>
      </c>
      <c r="P72" s="119" t="s">
        <v>621</v>
      </c>
      <c r="AG72" s="119" t="s">
        <v>402</v>
      </c>
      <c r="AH72" s="171">
        <v>18800</v>
      </c>
      <c r="AI72" s="119">
        <v>4</v>
      </c>
    </row>
    <row r="73" spans="2:35" x14ac:dyDescent="0.15">
      <c r="B73" s="119">
        <f t="shared" si="6"/>
        <v>71</v>
      </c>
      <c r="C73" s="126" t="s">
        <v>616</v>
      </c>
      <c r="D73" s="119" t="s">
        <v>617</v>
      </c>
      <c r="E73" s="119" t="s">
        <v>395</v>
      </c>
      <c r="I73" s="171">
        <f>VLOOKUP(E73,'Calorific values'!AA$4:AE$26,5)</f>
        <v>18916.150000000001</v>
      </c>
      <c r="J73" s="171"/>
      <c r="K73" s="171">
        <f t="shared" si="3"/>
        <v>17596.150000000001</v>
      </c>
      <c r="L73" s="201">
        <v>29500</v>
      </c>
      <c r="M73" s="248">
        <v>0.5</v>
      </c>
      <c r="N73" s="119">
        <v>2</v>
      </c>
      <c r="P73" s="119" t="s">
        <v>625</v>
      </c>
      <c r="AG73" s="174" t="s">
        <v>408</v>
      </c>
      <c r="AH73" s="175">
        <v>20050</v>
      </c>
      <c r="AI73" s="174">
        <v>4</v>
      </c>
    </row>
    <row r="74" spans="2:35" x14ac:dyDescent="0.15">
      <c r="B74" s="119">
        <f t="shared" si="6"/>
        <v>72</v>
      </c>
      <c r="C74" s="126" t="s">
        <v>619</v>
      </c>
      <c r="D74" s="119" t="s">
        <v>620</v>
      </c>
      <c r="E74" s="119" t="s">
        <v>357</v>
      </c>
      <c r="I74" s="171">
        <f>VLOOKUP(E74,'Calorific values'!AA$4:AE$26,5)</f>
        <v>18684.050000000003</v>
      </c>
      <c r="J74" s="171"/>
      <c r="K74" s="171">
        <f t="shared" si="3"/>
        <v>17364.050000000003</v>
      </c>
      <c r="L74" s="201">
        <v>29500</v>
      </c>
      <c r="M74" s="248">
        <v>0.5</v>
      </c>
      <c r="N74" s="119">
        <v>2</v>
      </c>
      <c r="P74" s="119" t="s">
        <v>629</v>
      </c>
      <c r="AG74" s="119" t="s">
        <v>416</v>
      </c>
      <c r="AH74" s="171">
        <v>19600</v>
      </c>
      <c r="AI74" s="119">
        <v>4</v>
      </c>
    </row>
    <row r="75" spans="2:35" x14ac:dyDescent="0.15">
      <c r="B75" s="119">
        <f t="shared" si="6"/>
        <v>73</v>
      </c>
      <c r="C75" s="126" t="s">
        <v>622</v>
      </c>
      <c r="D75" s="119" t="s">
        <v>623</v>
      </c>
      <c r="E75" s="119" t="s">
        <v>624</v>
      </c>
      <c r="F75" s="119">
        <v>4000</v>
      </c>
      <c r="G75" s="119">
        <v>4300</v>
      </c>
      <c r="H75" s="179">
        <f>AVERAGE(F75,G75)</f>
        <v>4150</v>
      </c>
      <c r="I75" s="171">
        <f>H75*4.2</f>
        <v>17430</v>
      </c>
      <c r="J75" s="171"/>
      <c r="K75" s="171">
        <f t="shared" ref="K75:K90" si="7">I75-1320</f>
        <v>16110</v>
      </c>
      <c r="L75" s="201">
        <v>29500</v>
      </c>
      <c r="M75" s="248">
        <v>0.5</v>
      </c>
      <c r="N75" s="119">
        <v>1</v>
      </c>
      <c r="P75" s="119" t="s">
        <v>631</v>
      </c>
      <c r="AG75" s="119" t="s">
        <v>419</v>
      </c>
      <c r="AH75" s="171">
        <v>19000</v>
      </c>
      <c r="AI75" s="119">
        <v>4</v>
      </c>
    </row>
    <row r="76" spans="2:35" x14ac:dyDescent="0.15">
      <c r="B76" s="119">
        <f t="shared" si="6"/>
        <v>74</v>
      </c>
      <c r="C76" s="126" t="s">
        <v>626</v>
      </c>
      <c r="D76" s="119" t="s">
        <v>627</v>
      </c>
      <c r="E76" s="119" t="s">
        <v>628</v>
      </c>
      <c r="F76" s="119">
        <v>4134</v>
      </c>
      <c r="G76" s="119">
        <v>4277</v>
      </c>
      <c r="H76" s="179">
        <f>AVERAGE(F76,G76)</f>
        <v>4205.5</v>
      </c>
      <c r="I76" s="171">
        <f>H76*4.2</f>
        <v>17663.100000000002</v>
      </c>
      <c r="K76" s="171">
        <f t="shared" si="7"/>
        <v>16343.100000000002</v>
      </c>
      <c r="L76" s="201">
        <v>29500</v>
      </c>
      <c r="M76" s="248">
        <v>0.5</v>
      </c>
      <c r="N76" s="119">
        <v>1</v>
      </c>
      <c r="P76" s="119" t="s">
        <v>635</v>
      </c>
      <c r="AG76" s="119" t="s">
        <v>424</v>
      </c>
      <c r="AH76" s="171">
        <v>18400</v>
      </c>
      <c r="AI76" s="119">
        <v>4</v>
      </c>
    </row>
    <row r="77" spans="2:35" x14ac:dyDescent="0.15">
      <c r="B77" s="119">
        <f t="shared" si="6"/>
        <v>75</v>
      </c>
      <c r="C77" s="126" t="s">
        <v>630</v>
      </c>
      <c r="D77" s="119" t="s">
        <v>630</v>
      </c>
      <c r="I77" s="171">
        <v>20000</v>
      </c>
      <c r="K77" s="171">
        <f t="shared" si="7"/>
        <v>18680</v>
      </c>
      <c r="L77" s="201">
        <v>29500</v>
      </c>
      <c r="M77" s="248">
        <v>0.5</v>
      </c>
      <c r="N77" s="119">
        <v>4</v>
      </c>
      <c r="P77" s="119" t="s">
        <v>639</v>
      </c>
      <c r="AG77" s="119" t="s">
        <v>431</v>
      </c>
      <c r="AH77" s="171">
        <v>19800</v>
      </c>
      <c r="AI77" s="119">
        <v>4</v>
      </c>
    </row>
    <row r="78" spans="2:35" x14ac:dyDescent="0.15">
      <c r="B78" s="119">
        <f t="shared" si="6"/>
        <v>76</v>
      </c>
      <c r="C78" s="126" t="s">
        <v>632</v>
      </c>
      <c r="D78" s="119" t="s">
        <v>633</v>
      </c>
      <c r="E78" s="119" t="s">
        <v>634</v>
      </c>
      <c r="I78" s="171">
        <v>18700</v>
      </c>
      <c r="K78" s="171">
        <f t="shared" si="7"/>
        <v>17380</v>
      </c>
      <c r="L78" s="201">
        <v>29500</v>
      </c>
      <c r="M78" s="248">
        <v>0.5</v>
      </c>
      <c r="N78" s="119">
        <v>4</v>
      </c>
      <c r="P78" s="119" t="s">
        <v>642</v>
      </c>
      <c r="AG78" s="174" t="s">
        <v>437</v>
      </c>
      <c r="AH78" s="175">
        <v>20000</v>
      </c>
      <c r="AI78" s="174">
        <v>4</v>
      </c>
    </row>
    <row r="79" spans="2:35" x14ac:dyDescent="0.15">
      <c r="B79" s="119">
        <f t="shared" si="6"/>
        <v>77</v>
      </c>
      <c r="C79" s="126" t="s">
        <v>636</v>
      </c>
      <c r="D79" s="119" t="s">
        <v>637</v>
      </c>
      <c r="E79" s="119" t="s">
        <v>638</v>
      </c>
      <c r="I79" s="171">
        <v>19300</v>
      </c>
      <c r="K79" s="171">
        <f t="shared" si="7"/>
        <v>17980</v>
      </c>
      <c r="L79" s="201">
        <v>29500</v>
      </c>
      <c r="M79" s="248">
        <v>0.5</v>
      </c>
      <c r="N79" s="119">
        <v>4</v>
      </c>
      <c r="P79" s="119" t="s">
        <v>646</v>
      </c>
      <c r="AG79" s="174" t="s">
        <v>444</v>
      </c>
      <c r="AH79" s="175">
        <v>19300</v>
      </c>
      <c r="AI79" s="174">
        <v>4</v>
      </c>
    </row>
    <row r="80" spans="2:35" x14ac:dyDescent="0.15">
      <c r="B80" s="119">
        <f t="shared" si="6"/>
        <v>78</v>
      </c>
      <c r="C80" s="126" t="s">
        <v>640</v>
      </c>
      <c r="D80" s="119" t="s">
        <v>545</v>
      </c>
      <c r="E80" s="119" t="s">
        <v>641</v>
      </c>
      <c r="I80" s="171">
        <v>20700</v>
      </c>
      <c r="K80" s="171">
        <f t="shared" si="7"/>
        <v>19380</v>
      </c>
      <c r="L80" s="201">
        <v>29500</v>
      </c>
      <c r="M80" s="248">
        <v>0.5</v>
      </c>
      <c r="N80" s="119">
        <v>4</v>
      </c>
      <c r="P80" s="119" t="s">
        <v>649</v>
      </c>
      <c r="AG80" s="185" t="s">
        <v>450</v>
      </c>
      <c r="AH80" s="171">
        <v>18600</v>
      </c>
      <c r="AI80" s="119">
        <v>4</v>
      </c>
    </row>
    <row r="81" spans="2:35" x14ac:dyDescent="0.15">
      <c r="B81" s="119">
        <f t="shared" si="6"/>
        <v>79</v>
      </c>
      <c r="C81" s="126" t="s">
        <v>643</v>
      </c>
      <c r="D81" s="119" t="s">
        <v>644</v>
      </c>
      <c r="E81" s="119" t="s">
        <v>645</v>
      </c>
      <c r="F81" s="119">
        <v>4800</v>
      </c>
      <c r="H81" s="179">
        <f>AVERAGE(F81,G81)</f>
        <v>4800</v>
      </c>
      <c r="I81" s="171">
        <f>H81*4.2</f>
        <v>20160</v>
      </c>
      <c r="J81" s="171"/>
      <c r="K81" s="171">
        <f t="shared" si="7"/>
        <v>18840</v>
      </c>
      <c r="L81" s="201">
        <v>29500</v>
      </c>
      <c r="M81" s="248">
        <v>0.5</v>
      </c>
      <c r="N81" s="119">
        <v>1</v>
      </c>
      <c r="P81" s="119" t="s">
        <v>651</v>
      </c>
      <c r="AG81" s="119" t="s">
        <v>456</v>
      </c>
      <c r="AH81" s="171">
        <v>18100</v>
      </c>
      <c r="AI81" s="119">
        <v>4</v>
      </c>
    </row>
    <row r="82" spans="2:35" x14ac:dyDescent="0.15">
      <c r="B82" s="119">
        <f t="shared" si="6"/>
        <v>80</v>
      </c>
      <c r="C82" s="126" t="s">
        <v>647</v>
      </c>
      <c r="D82" s="119" t="s">
        <v>648</v>
      </c>
      <c r="E82" s="119" t="s">
        <v>392</v>
      </c>
      <c r="I82" s="171">
        <f>VLOOKUP(E82,'Calorific values'!AA$4:AE$26,5)</f>
        <v>22513.7</v>
      </c>
      <c r="K82" s="171">
        <f t="shared" si="7"/>
        <v>21193.7</v>
      </c>
      <c r="L82" s="201">
        <v>29500</v>
      </c>
      <c r="M82" s="248">
        <v>0.5</v>
      </c>
      <c r="N82" s="119">
        <v>2</v>
      </c>
      <c r="P82" s="119" t="s">
        <v>654</v>
      </c>
      <c r="AG82" s="174" t="s">
        <v>461</v>
      </c>
      <c r="AH82" s="175">
        <v>20000</v>
      </c>
      <c r="AI82" s="174">
        <v>4</v>
      </c>
    </row>
    <row r="83" spans="2:35" x14ac:dyDescent="0.15">
      <c r="B83" s="119">
        <f t="shared" si="6"/>
        <v>81</v>
      </c>
      <c r="C83" s="126" t="s">
        <v>650</v>
      </c>
      <c r="D83" s="119" t="s">
        <v>650</v>
      </c>
      <c r="F83" s="119">
        <v>4500</v>
      </c>
      <c r="H83" s="179">
        <f>AVERAGE(F83,G83)</f>
        <v>4500</v>
      </c>
      <c r="I83" s="171">
        <f>H83*4.2</f>
        <v>18900</v>
      </c>
      <c r="K83" s="171">
        <f t="shared" si="7"/>
        <v>17580</v>
      </c>
      <c r="L83" s="201">
        <v>29500</v>
      </c>
      <c r="M83" s="248">
        <v>0.5</v>
      </c>
      <c r="N83" s="119">
        <v>1</v>
      </c>
      <c r="AG83" s="119" t="s">
        <v>468</v>
      </c>
      <c r="AH83" s="171">
        <v>18700</v>
      </c>
      <c r="AI83" s="119">
        <v>4</v>
      </c>
    </row>
    <row r="84" spans="2:35" x14ac:dyDescent="0.15">
      <c r="B84" s="119">
        <f t="shared" si="6"/>
        <v>82</v>
      </c>
      <c r="C84" s="126" t="s">
        <v>652</v>
      </c>
      <c r="D84" s="119" t="s">
        <v>653</v>
      </c>
      <c r="E84" s="119" t="s">
        <v>311</v>
      </c>
      <c r="I84" s="171">
        <f>VLOOKUP(E84,'Calorific values'!AA$4:AE$26,5)</f>
        <v>19519.61</v>
      </c>
      <c r="K84" s="171">
        <f t="shared" si="7"/>
        <v>18199.61</v>
      </c>
      <c r="L84" s="201">
        <v>29500</v>
      </c>
      <c r="M84" s="248">
        <v>0.5</v>
      </c>
      <c r="N84" s="119">
        <v>2</v>
      </c>
      <c r="AG84" s="174" t="s">
        <v>473</v>
      </c>
      <c r="AH84" s="175">
        <v>20550</v>
      </c>
      <c r="AI84" s="174">
        <v>4</v>
      </c>
    </row>
    <row r="85" spans="2:35" x14ac:dyDescent="0.15">
      <c r="B85" s="119">
        <f t="shared" si="6"/>
        <v>83</v>
      </c>
      <c r="C85" s="126" t="s">
        <v>655</v>
      </c>
      <c r="D85" s="119" t="s">
        <v>656</v>
      </c>
      <c r="E85" s="119" t="s">
        <v>382</v>
      </c>
      <c r="I85" s="171">
        <f>VLOOKUP(E85,'Calorific values'!AA$4:AE$26,5)</f>
        <v>19519.61</v>
      </c>
      <c r="J85" s="171"/>
      <c r="K85" s="171">
        <f t="shared" si="7"/>
        <v>18199.61</v>
      </c>
      <c r="L85" s="201">
        <v>29500</v>
      </c>
      <c r="M85" s="248">
        <v>0.5</v>
      </c>
      <c r="N85" s="119">
        <v>2</v>
      </c>
      <c r="AG85" s="119" t="s">
        <v>480</v>
      </c>
      <c r="AH85" s="171">
        <v>19750</v>
      </c>
      <c r="AI85" s="119">
        <v>4</v>
      </c>
    </row>
    <row r="86" spans="2:35" x14ac:dyDescent="0.15">
      <c r="B86" s="119">
        <f t="shared" si="6"/>
        <v>84</v>
      </c>
      <c r="C86" s="126" t="s">
        <v>657</v>
      </c>
      <c r="D86" s="119" t="s">
        <v>658</v>
      </c>
      <c r="E86" s="119" t="s">
        <v>318</v>
      </c>
      <c r="I86" s="171">
        <f>VLOOKUP(E86,'Calorific values'!AA$4:AE$26,5)</f>
        <v>18962.570000000003</v>
      </c>
      <c r="K86" s="171">
        <f t="shared" si="7"/>
        <v>17642.570000000003</v>
      </c>
      <c r="L86" s="201">
        <v>29500</v>
      </c>
      <c r="M86" s="248">
        <v>0.5</v>
      </c>
      <c r="N86" s="119">
        <v>2</v>
      </c>
      <c r="AG86" s="119" t="s">
        <v>665</v>
      </c>
      <c r="AH86" s="171">
        <v>19800</v>
      </c>
      <c r="AI86" s="119">
        <v>4</v>
      </c>
    </row>
    <row r="87" spans="2:35" x14ac:dyDescent="0.15">
      <c r="B87" s="119">
        <f t="shared" si="6"/>
        <v>85</v>
      </c>
      <c r="C87" s="126" t="s">
        <v>659</v>
      </c>
      <c r="D87" s="119" t="s">
        <v>660</v>
      </c>
      <c r="E87" s="119" t="s">
        <v>661</v>
      </c>
      <c r="I87" s="171">
        <v>16300</v>
      </c>
      <c r="K87" s="171">
        <f t="shared" si="7"/>
        <v>14980</v>
      </c>
      <c r="L87" s="201">
        <v>29500</v>
      </c>
      <c r="M87" s="248">
        <v>0.5</v>
      </c>
      <c r="N87" s="119">
        <v>4</v>
      </c>
      <c r="AG87" s="119" t="s">
        <v>493</v>
      </c>
      <c r="AH87" s="171">
        <v>18400</v>
      </c>
      <c r="AI87" s="119">
        <v>4</v>
      </c>
    </row>
    <row r="88" spans="2:35" x14ac:dyDescent="0.15">
      <c r="B88" s="119">
        <f t="shared" si="6"/>
        <v>86</v>
      </c>
      <c r="C88" s="126" t="s">
        <v>662</v>
      </c>
      <c r="D88" s="119" t="s">
        <v>663</v>
      </c>
      <c r="E88" s="119" t="s">
        <v>664</v>
      </c>
      <c r="I88" s="171">
        <v>15400</v>
      </c>
      <c r="K88" s="171">
        <f t="shared" si="7"/>
        <v>14080</v>
      </c>
      <c r="L88" s="201">
        <v>29500</v>
      </c>
      <c r="M88" s="248">
        <v>0.5</v>
      </c>
      <c r="N88" s="119">
        <v>4</v>
      </c>
      <c r="AG88" s="119" t="s">
        <v>498</v>
      </c>
      <c r="AH88" s="171">
        <v>19300</v>
      </c>
      <c r="AI88" s="119">
        <v>4</v>
      </c>
    </row>
    <row r="89" spans="2:35" x14ac:dyDescent="0.15">
      <c r="B89" s="119">
        <f t="shared" si="6"/>
        <v>87</v>
      </c>
      <c r="C89" s="126" t="s">
        <v>666</v>
      </c>
      <c r="D89" s="119" t="s">
        <v>667</v>
      </c>
      <c r="E89" s="119" t="s">
        <v>668</v>
      </c>
      <c r="F89" s="119">
        <v>4900</v>
      </c>
      <c r="H89" s="179">
        <f>AVERAGE(F89,G89)</f>
        <v>4900</v>
      </c>
      <c r="I89" s="171">
        <f>H89*4.2</f>
        <v>20580</v>
      </c>
      <c r="K89" s="171">
        <f t="shared" si="7"/>
        <v>19260</v>
      </c>
      <c r="L89" s="201">
        <v>29500</v>
      </c>
      <c r="M89" s="248">
        <v>0.5</v>
      </c>
      <c r="N89" s="119">
        <v>1</v>
      </c>
      <c r="AG89" s="174" t="s">
        <v>503</v>
      </c>
      <c r="AH89" s="175">
        <v>18500</v>
      </c>
      <c r="AI89" s="174">
        <v>4</v>
      </c>
    </row>
    <row r="90" spans="2:35" ht="11.85" customHeight="1" x14ac:dyDescent="0.15">
      <c r="B90" s="119">
        <f t="shared" si="6"/>
        <v>88</v>
      </c>
      <c r="C90" s="126" t="s">
        <v>669</v>
      </c>
      <c r="D90" s="119" t="s">
        <v>669</v>
      </c>
      <c r="I90" s="171">
        <v>18300</v>
      </c>
      <c r="K90" s="171">
        <f t="shared" si="7"/>
        <v>16980</v>
      </c>
      <c r="L90" s="201">
        <v>29500</v>
      </c>
      <c r="M90" s="248">
        <v>0.5</v>
      </c>
      <c r="N90" s="119">
        <v>4</v>
      </c>
      <c r="AG90" s="119" t="s">
        <v>511</v>
      </c>
      <c r="AH90" s="171">
        <v>19750</v>
      </c>
      <c r="AI90" s="119">
        <v>4</v>
      </c>
    </row>
    <row r="91" spans="2:35" x14ac:dyDescent="0.15">
      <c r="AG91" s="174" t="s">
        <v>516</v>
      </c>
      <c r="AH91" s="175">
        <v>20100</v>
      </c>
      <c r="AI91" s="174">
        <v>4</v>
      </c>
    </row>
    <row r="92" spans="2:35" x14ac:dyDescent="0.15">
      <c r="B92" s="186"/>
      <c r="C92" s="764" t="s">
        <v>670</v>
      </c>
      <c r="D92" s="764"/>
      <c r="E92" s="764"/>
      <c r="F92" s="764"/>
      <c r="G92" s="764"/>
      <c r="H92" s="764"/>
      <c r="I92" s="764"/>
      <c r="AG92" s="174" t="s">
        <v>521</v>
      </c>
      <c r="AH92" s="175">
        <v>21300</v>
      </c>
      <c r="AI92" s="174">
        <v>4</v>
      </c>
    </row>
    <row r="93" spans="2:35" x14ac:dyDescent="0.15">
      <c r="B93" s="186"/>
      <c r="C93" s="187" t="s">
        <v>671</v>
      </c>
      <c r="D93" s="186" t="s">
        <v>672</v>
      </c>
      <c r="E93" s="186"/>
      <c r="F93" s="186"/>
      <c r="G93" s="186"/>
      <c r="H93" s="186"/>
      <c r="I93" s="188">
        <f>MIN($I$14:$I$90)</f>
        <v>15400</v>
      </c>
      <c r="AG93" s="119" t="s">
        <v>526</v>
      </c>
      <c r="AH93" s="171">
        <v>20000</v>
      </c>
      <c r="AI93" s="119">
        <v>4</v>
      </c>
    </row>
    <row r="94" spans="2:35" x14ac:dyDescent="0.15">
      <c r="B94" s="186"/>
      <c r="C94" s="187" t="s">
        <v>673</v>
      </c>
      <c r="D94" s="186"/>
      <c r="E94" s="186"/>
      <c r="F94" s="186"/>
      <c r="G94" s="186"/>
      <c r="H94" s="186"/>
      <c r="I94" s="188">
        <f>MAX($I$14:$I$90)</f>
        <v>22680</v>
      </c>
      <c r="AG94" s="119" t="s">
        <v>533</v>
      </c>
      <c r="AH94" s="171">
        <v>18700</v>
      </c>
      <c r="AI94" s="119">
        <v>4</v>
      </c>
    </row>
    <row r="95" spans="2:35" x14ac:dyDescent="0.15">
      <c r="B95" s="186"/>
      <c r="C95" s="187" t="s">
        <v>674</v>
      </c>
      <c r="D95" s="186"/>
      <c r="E95" s="186"/>
      <c r="F95" s="186"/>
      <c r="G95" s="186"/>
      <c r="H95" s="186"/>
      <c r="I95" s="188">
        <f>STDEV($I$14:$I$90)</f>
        <v>1278.2718886083765</v>
      </c>
      <c r="AG95" s="119" t="s">
        <v>538</v>
      </c>
      <c r="AH95" s="171">
        <v>19300</v>
      </c>
      <c r="AI95" s="119">
        <v>4</v>
      </c>
    </row>
    <row r="96" spans="2:35" x14ac:dyDescent="0.15">
      <c r="B96" s="186"/>
      <c r="C96" s="187" t="s">
        <v>191</v>
      </c>
      <c r="D96" s="186"/>
      <c r="E96" s="186"/>
      <c r="F96" s="186"/>
      <c r="G96" s="186"/>
      <c r="H96" s="186"/>
      <c r="I96" s="188">
        <f>AVERAGE($I$14:$I$90)</f>
        <v>19450.203246753252</v>
      </c>
      <c r="AG96" s="119" t="s">
        <v>545</v>
      </c>
      <c r="AH96" s="171">
        <v>20700</v>
      </c>
      <c r="AI96" s="119">
        <v>4</v>
      </c>
    </row>
    <row r="97" spans="2:35" x14ac:dyDescent="0.15">
      <c r="B97" s="186"/>
      <c r="C97" s="187" t="s">
        <v>675</v>
      </c>
      <c r="D97" s="186"/>
      <c r="E97" s="186"/>
      <c r="F97" s="186"/>
      <c r="G97" s="186"/>
      <c r="H97" s="186"/>
      <c r="I97" s="188">
        <f>QUARTILE($I$14:$I$90,1)</f>
        <v>18684.050000000003</v>
      </c>
      <c r="AG97" s="174" t="s">
        <v>550</v>
      </c>
      <c r="AH97" s="175">
        <v>20300</v>
      </c>
      <c r="AI97" s="174">
        <v>4</v>
      </c>
    </row>
    <row r="98" spans="2:35" x14ac:dyDescent="0.15">
      <c r="B98" s="186"/>
      <c r="C98" s="187" t="s">
        <v>676</v>
      </c>
      <c r="D98" s="186"/>
      <c r="E98" s="186"/>
      <c r="F98" s="186"/>
      <c r="G98" s="186"/>
      <c r="H98" s="186"/>
      <c r="I98" s="188">
        <f>MEDIAN($I$14:$I$90)</f>
        <v>19320</v>
      </c>
      <c r="AG98" s="119" t="s">
        <v>555</v>
      </c>
      <c r="AH98" s="171">
        <v>16300</v>
      </c>
      <c r="AI98" s="119">
        <v>4</v>
      </c>
    </row>
    <row r="99" spans="2:35" x14ac:dyDescent="0.15">
      <c r="B99" s="186"/>
      <c r="C99" s="187" t="s">
        <v>677</v>
      </c>
      <c r="D99" s="186"/>
      <c r="E99" s="186"/>
      <c r="F99" s="186"/>
      <c r="G99" s="186"/>
      <c r="H99" s="186"/>
      <c r="I99" s="188">
        <f>QUARTILE($I$14:$I$90,3)</f>
        <v>20160</v>
      </c>
      <c r="AG99" s="119" t="s">
        <v>559</v>
      </c>
      <c r="AH99" s="171">
        <v>15400</v>
      </c>
      <c r="AI99" s="119">
        <v>4</v>
      </c>
    </row>
    <row r="100" spans="2:35" x14ac:dyDescent="0.15">
      <c r="B100" s="186"/>
      <c r="C100" s="117"/>
      <c r="D100" s="186"/>
      <c r="E100" s="186"/>
      <c r="F100" s="186"/>
      <c r="G100" s="186"/>
      <c r="H100" s="186"/>
      <c r="I100" s="186"/>
      <c r="AG100" s="119" t="s">
        <v>563</v>
      </c>
      <c r="AH100" s="171">
        <v>18300</v>
      </c>
      <c r="AI100" s="119">
        <v>4</v>
      </c>
    </row>
    <row r="101" spans="2:35" x14ac:dyDescent="0.15">
      <c r="B101" s="186">
        <v>1</v>
      </c>
      <c r="C101" s="117" t="s">
        <v>678</v>
      </c>
      <c r="D101" s="186"/>
      <c r="E101" s="186"/>
      <c r="F101" s="186"/>
      <c r="G101" s="186"/>
      <c r="H101" s="186"/>
      <c r="I101" s="186"/>
    </row>
    <row r="102" spans="2:35" x14ac:dyDescent="0.15">
      <c r="B102" s="186">
        <v>2</v>
      </c>
      <c r="C102" s="117" t="s">
        <v>679</v>
      </c>
      <c r="D102" s="186"/>
      <c r="E102" s="186"/>
      <c r="F102" s="186"/>
      <c r="G102" s="186"/>
      <c r="H102" s="186"/>
      <c r="I102" s="186"/>
    </row>
    <row r="103" spans="2:35" ht="21.75" x14ac:dyDescent="0.15">
      <c r="B103" s="186">
        <v>3</v>
      </c>
      <c r="C103" s="117" t="s">
        <v>680</v>
      </c>
      <c r="D103" s="186"/>
      <c r="E103" s="186"/>
      <c r="F103" s="186"/>
      <c r="G103" s="186"/>
      <c r="H103" s="186"/>
      <c r="I103" s="186"/>
    </row>
    <row r="104" spans="2:35" x14ac:dyDescent="0.15">
      <c r="B104" s="186">
        <v>4</v>
      </c>
      <c r="C104" s="117" t="s">
        <v>681</v>
      </c>
      <c r="D104" s="186"/>
      <c r="E104" s="186"/>
      <c r="F104" s="186"/>
      <c r="G104" s="186"/>
      <c r="H104" s="186"/>
      <c r="I104" s="186"/>
    </row>
  </sheetData>
  <mergeCells count="4">
    <mergeCell ref="F1:H1"/>
    <mergeCell ref="AB2:AC2"/>
    <mergeCell ref="AD2:AE2"/>
    <mergeCell ref="C92:I92"/>
  </mergeCells>
  <phoneticPr fontId="4" type="noConversion"/>
  <pageMargins left="0.74791666666666667" right="0.74791666666666667" top="0.98402777777777772" bottom="0.98402777777777772" header="0.51180555555555551" footer="0.51180555555555551"/>
  <pageSetup firstPageNumber="0" orientation="portrait" horizontalDpi="300" verticalDpi="300" r:id="rId1"/>
  <headerFooter alignWithMargins="0"/>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I71"/>
  <sheetViews>
    <sheetView workbookViewId="0"/>
  </sheetViews>
  <sheetFormatPr defaultRowHeight="12.75" x14ac:dyDescent="0.15"/>
  <cols>
    <col min="2" max="2" width="9.16796875" customWidth="1"/>
    <col min="5" max="5" width="27.9140625" customWidth="1"/>
  </cols>
  <sheetData>
    <row r="1" spans="1:9" x14ac:dyDescent="0.15">
      <c r="A1" s="169" t="s">
        <v>1124</v>
      </c>
      <c r="C1" t="s">
        <v>1125</v>
      </c>
      <c r="D1" t="s">
        <v>1126</v>
      </c>
      <c r="E1" t="s">
        <v>1041</v>
      </c>
      <c r="F1" t="s">
        <v>90</v>
      </c>
      <c r="G1" t="s">
        <v>1127</v>
      </c>
      <c r="H1" t="s">
        <v>1042</v>
      </c>
      <c r="I1" t="s">
        <v>1043</v>
      </c>
    </row>
    <row r="2" spans="1:9" x14ac:dyDescent="0.15">
      <c r="C2" t="s">
        <v>1128</v>
      </c>
      <c r="D2" s="535" t="e">
        <f>'IWA Summary'!C20</f>
        <v>#VALUE!</v>
      </c>
      <c r="E2" t="s">
        <v>1044</v>
      </c>
      <c r="F2" t="s">
        <v>1045</v>
      </c>
      <c r="G2" s="541" t="e">
        <f>Results!N47</f>
        <v>#DIV/0!</v>
      </c>
      <c r="H2" s="541" t="e">
        <f>Results!O47</f>
        <v>#DIV/0!</v>
      </c>
      <c r="I2">
        <v>1</v>
      </c>
    </row>
    <row r="3" spans="1:9" x14ac:dyDescent="0.15">
      <c r="A3" t="s">
        <v>1046</v>
      </c>
      <c r="B3" s="535">
        <f>'General Information'!J3</f>
        <v>0</v>
      </c>
      <c r="C3" s="535" t="s">
        <v>1129</v>
      </c>
      <c r="D3" s="535" t="str">
        <f>'IWA Summary'!J23</f>
        <v>NA</v>
      </c>
      <c r="E3" t="s">
        <v>1047</v>
      </c>
      <c r="F3" t="s">
        <v>1048</v>
      </c>
      <c r="G3" s="541" t="e">
        <f>Results!N49</f>
        <v>#DIV/0!</v>
      </c>
      <c r="H3" s="541" t="e">
        <f>Results!O49</f>
        <v>#DIV/0!</v>
      </c>
      <c r="I3">
        <v>2</v>
      </c>
    </row>
    <row r="4" spans="1:9" x14ac:dyDescent="0.15">
      <c r="A4" t="s">
        <v>1049</v>
      </c>
      <c r="B4" s="535">
        <f>'General Information'!L22</f>
        <v>0</v>
      </c>
      <c r="C4" s="535" t="s">
        <v>1130</v>
      </c>
      <c r="D4" s="535" t="str">
        <f>'IWA Summary'!J24</f>
        <v>NA</v>
      </c>
      <c r="E4" t="s">
        <v>1050</v>
      </c>
      <c r="F4" t="s">
        <v>857</v>
      </c>
      <c r="G4" s="541" t="e">
        <f>Results!N48</f>
        <v>#DIV/0!</v>
      </c>
      <c r="H4" s="541" t="e">
        <f>Results!O48</f>
        <v>#DIV/0!</v>
      </c>
      <c r="I4">
        <v>3</v>
      </c>
    </row>
    <row r="5" spans="1:9" x14ac:dyDescent="0.15">
      <c r="A5" t="s">
        <v>936</v>
      </c>
      <c r="B5" s="535">
        <f>'General Information'!C12</f>
        <v>0</v>
      </c>
      <c r="C5" s="535" t="s">
        <v>1131</v>
      </c>
      <c r="D5" s="535" t="str">
        <f>'IWA Summary'!J25</f>
        <v>NA</v>
      </c>
      <c r="E5" t="s">
        <v>1051</v>
      </c>
      <c r="F5" t="s">
        <v>861</v>
      </c>
      <c r="G5" s="541" t="e">
        <f>Results!N50</f>
        <v>#DIV/0!</v>
      </c>
      <c r="H5" s="541" t="e">
        <f>Results!O50</f>
        <v>#DIV/0!</v>
      </c>
      <c r="I5">
        <v>4</v>
      </c>
    </row>
    <row r="6" spans="1:9" x14ac:dyDescent="0.15">
      <c r="A6" t="s">
        <v>1052</v>
      </c>
      <c r="B6" s="535">
        <f>'General Information'!B27</f>
        <v>0</v>
      </c>
      <c r="C6" s="535" t="s">
        <v>1132</v>
      </c>
      <c r="D6" s="535" t="str">
        <f>'IWA Summary'!J26</f>
        <v>NA</v>
      </c>
      <c r="E6" t="s">
        <v>937</v>
      </c>
      <c r="F6" t="s">
        <v>113</v>
      </c>
      <c r="G6" s="541" t="e">
        <f>Results!N14</f>
        <v>#DIV/0!</v>
      </c>
      <c r="H6" s="541" t="e">
        <f>Results!O14</f>
        <v>#DIV/0!</v>
      </c>
      <c r="I6">
        <v>5</v>
      </c>
    </row>
    <row r="7" spans="1:9" x14ac:dyDescent="0.15">
      <c r="A7" t="s">
        <v>1053</v>
      </c>
      <c r="B7" s="535" t="s">
        <v>941</v>
      </c>
      <c r="C7" s="535" t="s">
        <v>1133</v>
      </c>
      <c r="D7" s="535" t="e">
        <f>'IWA Summary'!C23</f>
        <v>#VALUE!</v>
      </c>
      <c r="E7" t="s">
        <v>938</v>
      </c>
      <c r="F7" t="s">
        <v>113</v>
      </c>
      <c r="G7" s="541" t="e">
        <f>Results!N24</f>
        <v>#DIV/0!</v>
      </c>
      <c r="H7" s="541" t="e">
        <f>Results!O24</f>
        <v>#DIV/0!</v>
      </c>
      <c r="I7">
        <v>6</v>
      </c>
    </row>
    <row r="8" spans="1:9" x14ac:dyDescent="0.15">
      <c r="A8" t="s">
        <v>1054</v>
      </c>
      <c r="B8" s="535">
        <f>'General Information'!C8</f>
        <v>0</v>
      </c>
      <c r="C8" s="535" t="s">
        <v>1134</v>
      </c>
      <c r="D8" s="535" t="str">
        <f>'IWA Summary'!J20</f>
        <v>NA</v>
      </c>
      <c r="E8" t="s">
        <v>1055</v>
      </c>
      <c r="F8" t="s">
        <v>113</v>
      </c>
      <c r="G8" s="541" t="e">
        <f>Results!N45</f>
        <v>#DIV/0!</v>
      </c>
      <c r="H8" s="541" t="e">
        <f>Results!O45</f>
        <v>#DIV/0!</v>
      </c>
      <c r="I8">
        <v>7</v>
      </c>
    </row>
    <row r="9" spans="1:9" x14ac:dyDescent="0.15">
      <c r="A9" t="s">
        <v>1056</v>
      </c>
      <c r="B9" s="535">
        <f>'General Information'!C9</f>
        <v>0</v>
      </c>
      <c r="C9" s="535" t="s">
        <v>1135</v>
      </c>
      <c r="D9" s="535" t="str">
        <f>'IWA Summary'!J21</f>
        <v>NA</v>
      </c>
      <c r="E9" t="s">
        <v>1057</v>
      </c>
      <c r="F9" t="s">
        <v>853</v>
      </c>
      <c r="G9" s="541" t="e">
        <f>Results!N46</f>
        <v>#DIV/0!</v>
      </c>
      <c r="H9" s="541" t="e">
        <f>Results!O46</f>
        <v>#DIV/0!</v>
      </c>
      <c r="I9">
        <v>8</v>
      </c>
    </row>
    <row r="10" spans="1:9" x14ac:dyDescent="0.15">
      <c r="A10" t="s">
        <v>934</v>
      </c>
      <c r="B10" s="535">
        <f>'General Information'!C6</f>
        <v>0</v>
      </c>
      <c r="C10" s="535" t="s">
        <v>1136</v>
      </c>
      <c r="D10" s="535" t="e">
        <f>'IWA Summary'!C28</f>
        <v>#VALUE!</v>
      </c>
      <c r="E10" t="s">
        <v>1058</v>
      </c>
      <c r="F10" t="s">
        <v>154</v>
      </c>
      <c r="G10" s="541" t="e">
        <f>Results!N51</f>
        <v>#DIV/0!</v>
      </c>
      <c r="H10" s="541" t="e">
        <f>Results!O51</f>
        <v>#DIV/0!</v>
      </c>
      <c r="I10">
        <v>9</v>
      </c>
    </row>
    <row r="11" spans="1:9" x14ac:dyDescent="0.15">
      <c r="A11" t="s">
        <v>935</v>
      </c>
      <c r="B11" s="535"/>
      <c r="C11" s="535" t="s">
        <v>1137</v>
      </c>
      <c r="D11" s="535"/>
      <c r="E11" t="s">
        <v>1059</v>
      </c>
      <c r="F11" t="s">
        <v>864</v>
      </c>
      <c r="G11" s="541" t="e">
        <f>Results!N52</f>
        <v>#DIV/0!</v>
      </c>
      <c r="H11" s="541" t="e">
        <f>Results!O52</f>
        <v>#DIV/0!</v>
      </c>
      <c r="I11">
        <v>10</v>
      </c>
    </row>
    <row r="12" spans="1:9" x14ac:dyDescent="0.15">
      <c r="B12" s="535"/>
      <c r="C12" s="535" t="s">
        <v>1138</v>
      </c>
      <c r="D12" s="535"/>
      <c r="E12" t="s">
        <v>1060</v>
      </c>
      <c r="F12" t="s">
        <v>1061</v>
      </c>
      <c r="G12" s="541"/>
      <c r="H12" s="541"/>
      <c r="I12">
        <v>12</v>
      </c>
    </row>
    <row r="13" spans="1:9" x14ac:dyDescent="0.15">
      <c r="B13" s="535"/>
      <c r="C13" s="535" t="s">
        <v>1139</v>
      </c>
      <c r="D13" s="535"/>
      <c r="E13" t="s">
        <v>1062</v>
      </c>
      <c r="F13" t="s">
        <v>1063</v>
      </c>
      <c r="G13" s="541"/>
      <c r="H13" s="541"/>
      <c r="I13">
        <v>13</v>
      </c>
    </row>
    <row r="14" spans="1:9" x14ac:dyDescent="0.15">
      <c r="B14" s="535"/>
      <c r="C14" s="535" t="s">
        <v>1140</v>
      </c>
      <c r="D14" s="535"/>
      <c r="E14" t="s">
        <v>1064</v>
      </c>
      <c r="F14" t="s">
        <v>113</v>
      </c>
      <c r="G14" s="541"/>
      <c r="H14" s="541"/>
      <c r="I14">
        <v>14</v>
      </c>
    </row>
    <row r="15" spans="1:9" x14ac:dyDescent="0.15">
      <c r="B15" s="535"/>
      <c r="C15" s="535" t="s">
        <v>1141</v>
      </c>
      <c r="D15" s="535" t="str">
        <f>'IWA Summary'!C31</f>
        <v/>
      </c>
      <c r="E15" t="s">
        <v>1065</v>
      </c>
      <c r="F15" t="s">
        <v>1066</v>
      </c>
      <c r="G15" s="541"/>
      <c r="H15" s="541"/>
      <c r="I15">
        <v>15</v>
      </c>
    </row>
    <row r="16" spans="1:9" x14ac:dyDescent="0.15">
      <c r="B16" s="535"/>
      <c r="C16" s="535"/>
      <c r="D16" s="535"/>
      <c r="E16" t="s">
        <v>1067</v>
      </c>
      <c r="F16" t="s">
        <v>1068</v>
      </c>
      <c r="G16" s="541"/>
      <c r="H16" s="541"/>
      <c r="I16">
        <v>16</v>
      </c>
    </row>
    <row r="17" spans="2:9" x14ac:dyDescent="0.15">
      <c r="B17" s="535"/>
      <c r="C17" s="535"/>
      <c r="D17" s="535"/>
      <c r="E17" t="s">
        <v>1069</v>
      </c>
      <c r="F17" t="s">
        <v>1070</v>
      </c>
      <c r="G17" s="541" t="e">
        <f>Results!N18</f>
        <v>#DIV/0!</v>
      </c>
      <c r="H17" s="541" t="e">
        <f>Results!O18</f>
        <v>#DIV/0!</v>
      </c>
      <c r="I17">
        <v>17</v>
      </c>
    </row>
    <row r="18" spans="2:9" x14ac:dyDescent="0.15">
      <c r="B18" s="535"/>
      <c r="C18" s="535"/>
      <c r="D18" s="535"/>
      <c r="E18" t="s">
        <v>1071</v>
      </c>
      <c r="F18" t="s">
        <v>1070</v>
      </c>
      <c r="G18" s="541" t="e">
        <f>Results!N28</f>
        <v>#DIV/0!</v>
      </c>
      <c r="H18" s="541" t="e">
        <f>Results!O28</f>
        <v>#DIV/0!</v>
      </c>
      <c r="I18">
        <v>18</v>
      </c>
    </row>
    <row r="19" spans="2:9" x14ac:dyDescent="0.15">
      <c r="B19" s="535"/>
      <c r="C19" s="535"/>
      <c r="D19" s="535"/>
      <c r="E19" t="s">
        <v>1072</v>
      </c>
      <c r="F19" t="s">
        <v>1070</v>
      </c>
      <c r="G19" s="541" t="e">
        <f>Results!N35</f>
        <v>#DIV/0!</v>
      </c>
      <c r="H19" s="541" t="e">
        <f>Results!O35</f>
        <v>#DIV/0!</v>
      </c>
      <c r="I19">
        <v>19</v>
      </c>
    </row>
    <row r="20" spans="2:9" x14ac:dyDescent="0.15">
      <c r="B20" s="535"/>
      <c r="C20" s="535"/>
      <c r="D20" s="535"/>
      <c r="E20" t="s">
        <v>1073</v>
      </c>
      <c r="F20" t="s">
        <v>141</v>
      </c>
      <c r="G20" s="541"/>
      <c r="H20" s="541"/>
      <c r="I20">
        <v>21</v>
      </c>
    </row>
    <row r="21" spans="2:9" x14ac:dyDescent="0.15">
      <c r="B21" s="535"/>
      <c r="C21" s="535"/>
      <c r="D21" s="535"/>
      <c r="E21" t="s">
        <v>1074</v>
      </c>
      <c r="F21" t="s">
        <v>1075</v>
      </c>
      <c r="G21" s="541"/>
      <c r="H21" s="541"/>
      <c r="I21">
        <v>22</v>
      </c>
    </row>
    <row r="22" spans="2:9" x14ac:dyDescent="0.15">
      <c r="B22" s="536"/>
      <c r="C22" s="536"/>
      <c r="D22" s="536"/>
      <c r="E22" t="s">
        <v>1076</v>
      </c>
      <c r="F22" t="s">
        <v>1075</v>
      </c>
      <c r="G22" s="541"/>
      <c r="H22" s="541"/>
      <c r="I22">
        <v>23</v>
      </c>
    </row>
    <row r="23" spans="2:9" x14ac:dyDescent="0.15">
      <c r="E23" t="s">
        <v>1077</v>
      </c>
      <c r="F23" t="s">
        <v>1078</v>
      </c>
      <c r="G23" s="541"/>
      <c r="H23" s="541"/>
      <c r="I23">
        <v>24</v>
      </c>
    </row>
    <row r="24" spans="2:9" x14ac:dyDescent="0.15">
      <c r="E24" t="s">
        <v>1079</v>
      </c>
      <c r="F24" t="s">
        <v>1078</v>
      </c>
      <c r="G24" s="541"/>
      <c r="H24" s="541"/>
      <c r="I24">
        <v>25</v>
      </c>
    </row>
    <row r="25" spans="2:9" x14ac:dyDescent="0.15">
      <c r="E25" t="s">
        <v>1080</v>
      </c>
      <c r="F25" t="s">
        <v>864</v>
      </c>
      <c r="G25" s="541"/>
      <c r="H25" s="541"/>
      <c r="I25">
        <v>26</v>
      </c>
    </row>
    <row r="26" spans="2:9" x14ac:dyDescent="0.15">
      <c r="E26" t="s">
        <v>1081</v>
      </c>
      <c r="F26" t="s">
        <v>154</v>
      </c>
      <c r="G26" s="541"/>
      <c r="H26" s="541"/>
      <c r="I26">
        <v>27</v>
      </c>
    </row>
    <row r="27" spans="2:9" x14ac:dyDescent="0.15">
      <c r="E27" t="s">
        <v>1082</v>
      </c>
      <c r="F27" t="s">
        <v>1083</v>
      </c>
      <c r="G27" s="541"/>
      <c r="H27" s="541"/>
      <c r="I27">
        <v>28</v>
      </c>
    </row>
    <row r="28" spans="2:9" x14ac:dyDescent="0.15">
      <c r="E28" t="s">
        <v>1084</v>
      </c>
      <c r="F28" t="s">
        <v>1085</v>
      </c>
      <c r="G28" s="541"/>
      <c r="H28" s="541"/>
      <c r="I28">
        <v>29</v>
      </c>
    </row>
    <row r="29" spans="2:9" x14ac:dyDescent="0.15">
      <c r="E29" t="s">
        <v>1086</v>
      </c>
      <c r="F29" t="s">
        <v>113</v>
      </c>
      <c r="G29" s="541"/>
      <c r="H29" s="541"/>
      <c r="I29">
        <v>30</v>
      </c>
    </row>
    <row r="30" spans="2:9" x14ac:dyDescent="0.15">
      <c r="E30" t="s">
        <v>1087</v>
      </c>
      <c r="F30" t="s">
        <v>141</v>
      </c>
      <c r="G30" s="541"/>
      <c r="H30" s="541"/>
      <c r="I30">
        <v>31</v>
      </c>
    </row>
    <row r="31" spans="2:9" x14ac:dyDescent="0.15">
      <c r="E31" t="s">
        <v>1088</v>
      </c>
      <c r="F31" t="s">
        <v>1089</v>
      </c>
      <c r="G31" s="541"/>
      <c r="H31" s="541"/>
      <c r="I31">
        <v>32</v>
      </c>
    </row>
    <row r="32" spans="2:9" x14ac:dyDescent="0.15">
      <c r="E32" t="s">
        <v>1090</v>
      </c>
      <c r="F32" t="s">
        <v>939</v>
      </c>
      <c r="G32" s="541"/>
      <c r="H32" s="541"/>
      <c r="I32">
        <v>33</v>
      </c>
    </row>
    <row r="33" spans="5:9" x14ac:dyDescent="0.15">
      <c r="E33" t="s">
        <v>1091</v>
      </c>
      <c r="F33" t="s">
        <v>1092</v>
      </c>
      <c r="G33" s="541"/>
      <c r="H33" s="541"/>
      <c r="I33">
        <v>34</v>
      </c>
    </row>
    <row r="34" spans="5:9" x14ac:dyDescent="0.15">
      <c r="E34" t="s">
        <v>1146</v>
      </c>
      <c r="G34" s="591">
        <f>'IWA Summary'!H47</f>
        <v>0</v>
      </c>
      <c r="H34" s="591"/>
      <c r="I34">
        <v>43</v>
      </c>
    </row>
    <row r="35" spans="5:9" x14ac:dyDescent="0.15">
      <c r="E35" t="s">
        <v>1147</v>
      </c>
      <c r="G35" s="591">
        <f>'IWA Summary'!H48</f>
        <v>0</v>
      </c>
      <c r="H35" s="591"/>
      <c r="I35">
        <v>44</v>
      </c>
    </row>
    <row r="36" spans="5:9" x14ac:dyDescent="0.15">
      <c r="E36" t="s">
        <v>1148</v>
      </c>
      <c r="G36" s="591">
        <f>'IWA Summary'!H49</f>
        <v>0</v>
      </c>
      <c r="H36" s="591"/>
      <c r="I36">
        <v>45</v>
      </c>
    </row>
    <row r="37" spans="5:9" x14ac:dyDescent="0.15">
      <c r="E37" t="s">
        <v>1149</v>
      </c>
      <c r="G37" s="591">
        <f>'IWA Summary'!H50</f>
        <v>0</v>
      </c>
      <c r="H37" s="591"/>
      <c r="I37">
        <v>46</v>
      </c>
    </row>
    <row r="38" spans="5:9" x14ac:dyDescent="0.15">
      <c r="E38" t="s">
        <v>1150</v>
      </c>
      <c r="G38" s="591">
        <f>'IWA Summary'!H51</f>
        <v>0</v>
      </c>
      <c r="H38" s="591"/>
      <c r="I38">
        <v>47</v>
      </c>
    </row>
    <row r="39" spans="5:9" x14ac:dyDescent="0.15">
      <c r="E39" t="s">
        <v>1151</v>
      </c>
      <c r="G39" s="591">
        <f>'IWA Summary'!H52</f>
        <v>0</v>
      </c>
      <c r="H39" s="591"/>
      <c r="I39">
        <v>48</v>
      </c>
    </row>
    <row r="40" spans="5:9" x14ac:dyDescent="0.15">
      <c r="E40" t="s">
        <v>1152</v>
      </c>
      <c r="G40" s="591">
        <f>'IWA Summary'!H53</f>
        <v>0</v>
      </c>
      <c r="H40" s="591"/>
      <c r="I40">
        <v>49</v>
      </c>
    </row>
    <row r="41" spans="5:9" x14ac:dyDescent="0.15">
      <c r="E41" t="s">
        <v>1153</v>
      </c>
      <c r="G41" s="591">
        <f>'IWA Summary'!H54</f>
        <v>0</v>
      </c>
      <c r="H41" s="591"/>
      <c r="I41">
        <v>50</v>
      </c>
    </row>
    <row r="42" spans="5:9" x14ac:dyDescent="0.15">
      <c r="E42" t="s">
        <v>1154</v>
      </c>
      <c r="G42" s="591">
        <f>'IWA Summary'!H55</f>
        <v>0</v>
      </c>
      <c r="H42" s="591"/>
      <c r="I42">
        <v>51</v>
      </c>
    </row>
    <row r="43" spans="5:9" x14ac:dyDescent="0.15">
      <c r="E43" t="s">
        <v>1155</v>
      </c>
      <c r="G43" s="591">
        <f>'IWA Summary'!H56</f>
        <v>0</v>
      </c>
      <c r="H43" s="591"/>
      <c r="I43">
        <v>52</v>
      </c>
    </row>
    <row r="44" spans="5:9" x14ac:dyDescent="0.15">
      <c r="E44" t="s">
        <v>1093</v>
      </c>
      <c r="F44" t="s">
        <v>1094</v>
      </c>
      <c r="G44" s="591">
        <f>'IWA Summary'!J57</f>
        <v>0</v>
      </c>
      <c r="H44" s="591"/>
      <c r="I44">
        <v>53</v>
      </c>
    </row>
    <row r="45" spans="5:9" x14ac:dyDescent="0.15">
      <c r="E45" t="s">
        <v>1095</v>
      </c>
      <c r="F45" t="s">
        <v>1096</v>
      </c>
      <c r="G45" s="541"/>
      <c r="H45" s="541"/>
      <c r="I45">
        <v>56</v>
      </c>
    </row>
    <row r="46" spans="5:9" x14ac:dyDescent="0.15">
      <c r="E46" t="s">
        <v>1097</v>
      </c>
      <c r="F46" t="s">
        <v>1096</v>
      </c>
      <c r="G46" s="541"/>
      <c r="H46" s="541"/>
      <c r="I46">
        <v>57</v>
      </c>
    </row>
    <row r="47" spans="5:9" x14ac:dyDescent="0.15">
      <c r="E47" t="s">
        <v>1098</v>
      </c>
      <c r="F47" t="s">
        <v>1096</v>
      </c>
      <c r="G47" s="541"/>
      <c r="H47" s="541"/>
      <c r="I47">
        <v>58</v>
      </c>
    </row>
    <row r="48" spans="5:9" x14ac:dyDescent="0.15">
      <c r="E48" t="s">
        <v>1099</v>
      </c>
      <c r="F48" t="s">
        <v>1096</v>
      </c>
      <c r="G48" s="541"/>
      <c r="H48" s="541"/>
      <c r="I48">
        <v>59</v>
      </c>
    </row>
    <row r="49" spans="5:9" x14ac:dyDescent="0.15">
      <c r="E49" t="s">
        <v>1100</v>
      </c>
      <c r="F49" t="s">
        <v>1096</v>
      </c>
      <c r="G49" s="541"/>
      <c r="H49" s="541"/>
      <c r="I49">
        <v>60</v>
      </c>
    </row>
    <row r="50" spans="5:9" x14ac:dyDescent="0.15">
      <c r="E50" t="s">
        <v>1101</v>
      </c>
      <c r="F50" t="s">
        <v>1096</v>
      </c>
      <c r="G50" s="541"/>
      <c r="H50" s="541"/>
      <c r="I50">
        <v>61</v>
      </c>
    </row>
    <row r="51" spans="5:9" x14ac:dyDescent="0.15">
      <c r="E51" t="s">
        <v>1102</v>
      </c>
      <c r="F51" t="s">
        <v>1096</v>
      </c>
      <c r="G51" s="541"/>
      <c r="H51" s="541"/>
      <c r="I51">
        <v>62</v>
      </c>
    </row>
    <row r="52" spans="5:9" x14ac:dyDescent="0.15">
      <c r="E52" t="s">
        <v>1103</v>
      </c>
      <c r="F52" t="s">
        <v>1096</v>
      </c>
      <c r="G52" s="541"/>
      <c r="H52" s="541"/>
      <c r="I52">
        <v>63</v>
      </c>
    </row>
    <row r="53" spans="5:9" x14ac:dyDescent="0.15">
      <c r="E53" t="s">
        <v>1104</v>
      </c>
      <c r="F53" t="s">
        <v>141</v>
      </c>
      <c r="G53" s="541" t="e">
        <f>Results!N11</f>
        <v>#DIV/0!</v>
      </c>
      <c r="H53" s="541">
        <f>Results!O11</f>
        <v>0</v>
      </c>
      <c r="I53">
        <v>64</v>
      </c>
    </row>
    <row r="54" spans="5:9" x14ac:dyDescent="0.15">
      <c r="E54" t="s">
        <v>1105</v>
      </c>
      <c r="F54" t="s">
        <v>141</v>
      </c>
      <c r="G54" s="541" t="e">
        <f>Results!N21</f>
        <v>#DIV/0!</v>
      </c>
      <c r="H54" s="541">
        <f>Results!O21</f>
        <v>0</v>
      </c>
      <c r="I54">
        <v>65</v>
      </c>
    </row>
    <row r="55" spans="5:9" x14ac:dyDescent="0.15">
      <c r="E55" t="s">
        <v>1106</v>
      </c>
      <c r="F55" t="s">
        <v>141</v>
      </c>
      <c r="G55" s="541" t="e">
        <f>Results!N12</f>
        <v>#DIV/0!</v>
      </c>
      <c r="H55" s="541" t="e">
        <f>Results!O12</f>
        <v>#DIV/0!</v>
      </c>
      <c r="I55">
        <v>66</v>
      </c>
    </row>
    <row r="56" spans="5:9" x14ac:dyDescent="0.15">
      <c r="E56" t="s">
        <v>1107</v>
      </c>
      <c r="F56" t="s">
        <v>141</v>
      </c>
      <c r="G56" s="541" t="e">
        <f>Results!N22</f>
        <v>#DIV/0!</v>
      </c>
      <c r="H56" s="541" t="e">
        <f>Results!O22</f>
        <v>#DIV/0!</v>
      </c>
      <c r="I56">
        <v>67</v>
      </c>
    </row>
    <row r="57" spans="5:9" x14ac:dyDescent="0.15">
      <c r="E57" t="s">
        <v>1108</v>
      </c>
      <c r="F57" t="s">
        <v>113</v>
      </c>
      <c r="G57" s="541" t="e">
        <f>Results!N32</f>
        <v>#DIV/0!</v>
      </c>
      <c r="H57" s="541" t="e">
        <f>Results!O32</f>
        <v>#DIV/0!</v>
      </c>
      <c r="I57">
        <v>68</v>
      </c>
    </row>
    <row r="58" spans="5:9" x14ac:dyDescent="0.15">
      <c r="E58" t="s">
        <v>1109</v>
      </c>
      <c r="F58" t="s">
        <v>1110</v>
      </c>
      <c r="G58" s="541" t="e">
        <f>Results!N15</f>
        <v>#DIV/0!</v>
      </c>
      <c r="H58" s="541" t="e">
        <f>Results!O15</f>
        <v>#DIV/0!</v>
      </c>
      <c r="I58">
        <v>69</v>
      </c>
    </row>
    <row r="59" spans="5:9" x14ac:dyDescent="0.15">
      <c r="E59" t="s">
        <v>1111</v>
      </c>
      <c r="F59" t="s">
        <v>1110</v>
      </c>
      <c r="G59" s="541" t="e">
        <f>Results!N25</f>
        <v>#DIV/0!</v>
      </c>
      <c r="H59" s="541" t="e">
        <f>Results!O25</f>
        <v>#DIV/0!</v>
      </c>
      <c r="I59">
        <v>70</v>
      </c>
    </row>
    <row r="60" spans="5:9" x14ac:dyDescent="0.15">
      <c r="E60" t="s">
        <v>1112</v>
      </c>
      <c r="F60" t="s">
        <v>1110</v>
      </c>
      <c r="G60" s="541" t="e">
        <f>Results!N16</f>
        <v>#DIV/0!</v>
      </c>
      <c r="H60" s="541" t="e">
        <f>Results!O16</f>
        <v>#DIV/0!</v>
      </c>
      <c r="I60">
        <v>71</v>
      </c>
    </row>
    <row r="61" spans="5:9" x14ac:dyDescent="0.15">
      <c r="E61" t="s">
        <v>1113</v>
      </c>
      <c r="F61" t="s">
        <v>1110</v>
      </c>
      <c r="G61" s="541" t="e">
        <f>Results!N26</f>
        <v>#DIV/0!</v>
      </c>
      <c r="H61" s="541" t="e">
        <f>Results!O26</f>
        <v>#DIV/0!</v>
      </c>
      <c r="I61">
        <v>72</v>
      </c>
    </row>
    <row r="62" spans="5:9" x14ac:dyDescent="0.15">
      <c r="E62" t="s">
        <v>1114</v>
      </c>
      <c r="F62" t="s">
        <v>1115</v>
      </c>
      <c r="G62" s="541" t="e">
        <f>Results!N17</f>
        <v>#DIV/0!</v>
      </c>
      <c r="H62" s="541" t="e">
        <f>Results!O17</f>
        <v>#DIV/0!</v>
      </c>
      <c r="I62">
        <v>73</v>
      </c>
    </row>
    <row r="63" spans="5:9" x14ac:dyDescent="0.15">
      <c r="E63" t="s">
        <v>1116</v>
      </c>
      <c r="F63" t="s">
        <v>1115</v>
      </c>
      <c r="G63" s="541" t="e">
        <f>Results!N27</f>
        <v>#DIV/0!</v>
      </c>
      <c r="H63" s="541" t="e">
        <f>Results!O27</f>
        <v>#DIV/0!</v>
      </c>
      <c r="I63">
        <v>74</v>
      </c>
    </row>
    <row r="64" spans="5:9" x14ac:dyDescent="0.15">
      <c r="E64" t="s">
        <v>169</v>
      </c>
      <c r="G64" s="541" t="e">
        <f>Results!N36</f>
        <v>#DIV/0!</v>
      </c>
      <c r="H64" s="541" t="e">
        <f>Results!O36</f>
        <v>#DIV/0!</v>
      </c>
      <c r="I64">
        <v>75</v>
      </c>
    </row>
    <row r="65" spans="5:9" x14ac:dyDescent="0.15">
      <c r="E65" t="s">
        <v>1117</v>
      </c>
      <c r="F65" t="s">
        <v>154</v>
      </c>
      <c r="G65" s="541" t="e">
        <f>Results!N23</f>
        <v>#DIV/0!</v>
      </c>
      <c r="H65" s="541" t="e">
        <f>Results!O23</f>
        <v>#DIV/0!</v>
      </c>
      <c r="I65">
        <v>76</v>
      </c>
    </row>
    <row r="66" spans="5:9" x14ac:dyDescent="0.15">
      <c r="E66" t="s">
        <v>1118</v>
      </c>
      <c r="F66" t="s">
        <v>154</v>
      </c>
      <c r="G66" s="541" t="e">
        <f>Results!N13</f>
        <v>#DIV/0!</v>
      </c>
      <c r="H66" s="541" t="e">
        <f>Results!O13</f>
        <v>#DIV/0!</v>
      </c>
      <c r="I66">
        <v>77</v>
      </c>
    </row>
    <row r="67" spans="5:9" x14ac:dyDescent="0.15">
      <c r="E67" t="s">
        <v>1119</v>
      </c>
      <c r="F67" t="s">
        <v>154</v>
      </c>
      <c r="G67" s="541" t="e">
        <f>Results!N31</f>
        <v>#DIV/0!</v>
      </c>
      <c r="H67" s="541" t="e">
        <f>Results!O31</f>
        <v>#DIV/0!</v>
      </c>
      <c r="I67">
        <v>78</v>
      </c>
    </row>
    <row r="68" spans="5:9" x14ac:dyDescent="0.15">
      <c r="E68" t="s">
        <v>1142</v>
      </c>
      <c r="F68" s="540" t="s">
        <v>1110</v>
      </c>
      <c r="G68" s="541" t="e">
        <f>Results!N33</f>
        <v>#DIV/0!</v>
      </c>
      <c r="H68" s="541" t="e">
        <f>Results!O33</f>
        <v>#DIV/0!</v>
      </c>
      <c r="I68">
        <v>85</v>
      </c>
    </row>
    <row r="69" spans="5:9" x14ac:dyDescent="0.15">
      <c r="E69" t="s">
        <v>1143</v>
      </c>
      <c r="F69" s="540" t="s">
        <v>1115</v>
      </c>
      <c r="G69" s="541" t="e">
        <f>Results!N34</f>
        <v>#DIV/0!</v>
      </c>
      <c r="H69" s="541" t="e">
        <f>Results!O34</f>
        <v>#DIV/0!</v>
      </c>
      <c r="I69">
        <v>86</v>
      </c>
    </row>
    <row r="70" spans="5:9" x14ac:dyDescent="0.15">
      <c r="F70" s="540"/>
    </row>
    <row r="71" spans="5:9" x14ac:dyDescent="0.15">
      <c r="F71" s="54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Hojas de cálculo</vt:lpstr>
      </vt:variant>
      <vt:variant>
        <vt:i4>18</vt:i4>
      </vt:variant>
      <vt:variant>
        <vt:lpstr>Rangos con nombre</vt:lpstr>
      </vt:variant>
      <vt:variant>
        <vt:i4>8</vt:i4>
      </vt:variant>
    </vt:vector>
  </HeadingPairs>
  <TitlesOfParts>
    <vt:vector size="26" baseType="lpstr">
      <vt:lpstr>General Information</vt:lpstr>
      <vt:lpstr>Test Entry</vt:lpstr>
      <vt:lpstr>Test-1</vt:lpstr>
      <vt:lpstr>Test-2</vt:lpstr>
      <vt:lpstr>Test-3</vt:lpstr>
      <vt:lpstr>Test-4</vt:lpstr>
      <vt:lpstr>Test-5</vt:lpstr>
      <vt:lpstr>Test-6</vt:lpstr>
      <vt:lpstr>Test-7</vt:lpstr>
      <vt:lpstr>Test-8</vt:lpstr>
      <vt:lpstr>Test-9</vt:lpstr>
      <vt:lpstr>Test-10</vt:lpstr>
      <vt:lpstr>Results</vt:lpstr>
      <vt:lpstr>IWA Summary</vt:lpstr>
      <vt:lpstr>Fuel Moisture</vt:lpstr>
      <vt:lpstr>Lists</vt:lpstr>
      <vt:lpstr>Calorific values</vt:lpstr>
      <vt:lpstr>Catalog Import Data</vt:lpstr>
      <vt:lpstr>Fuel Moisture!Área_de_impresión</vt:lpstr>
      <vt:lpstr>General Information!Área_de_impresión</vt:lpstr>
      <vt:lpstr>Results!Área_de_impresión</vt:lpstr>
      <vt:lpstr>charFracC</vt:lpstr>
      <vt:lpstr>FuelCalorific</vt:lpstr>
      <vt:lpstr>fuelFracC</vt:lpstr>
      <vt:lpstr>version</vt:lpstr>
      <vt:lpstr>WindConditions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Metrics &amp; Evaluation</cp:lastModifiedBy>
  <cp:lastPrinted>2014-03-13T21:51:56Z</cp:lastPrinted>
  <dcterms:created xsi:type="dcterms:W3CDTF">2009-08-08T21:16:22Z</dcterms:created>
  <dcterms:modified xsi:type="dcterms:W3CDTF">2015-02-18T16:36:29Z</dcterms:modified>
</cp:coreProperties>
</file>